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CNODE\document\"/>
    </mc:Choice>
  </mc:AlternateContent>
  <bookViews>
    <workbookView xWindow="0" yWindow="0" windowWidth="23580" windowHeight="17130" activeTab="1"/>
  </bookViews>
  <sheets>
    <sheet name="환경정보" sheetId="1" r:id="rId1"/>
    <sheet name="개발일정" sheetId="2" r:id="rId2"/>
    <sheet name="Sheet1" sheetId="3" r:id="rId3"/>
  </sheets>
  <definedNames>
    <definedName name="_xlnm._FilterDatabase" localSheetId="1" hidden="1">개발일정!$A$3:$N$3</definedName>
    <definedName name="_xlnm.Print_Area" localSheetId="1">개발일정!$A$1:$N$91</definedName>
    <definedName name="_xlnm.Print_Area" localSheetId="0">환경정보!$A$1:$F$57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1" i="2" l="1"/>
  <c r="J72" i="2"/>
  <c r="J73" i="2"/>
  <c r="J74" i="2" s="1"/>
  <c r="J75" i="2" s="1"/>
  <c r="J76" i="2" s="1"/>
  <c r="J77" i="2" s="1"/>
  <c r="J78" i="2" s="1"/>
  <c r="J79" i="2" s="1"/>
  <c r="J70" i="2"/>
  <c r="J63" i="2"/>
  <c r="J64" i="2" s="1"/>
  <c r="J65" i="2" s="1"/>
  <c r="J66" i="2" s="1"/>
  <c r="J67" i="2" s="1"/>
  <c r="J68" i="2" s="1"/>
  <c r="J69" i="2" s="1"/>
</calcChain>
</file>

<file path=xl/sharedStrings.xml><?xml version="1.0" encoding="utf-8"?>
<sst xmlns="http://schemas.openxmlformats.org/spreadsheetml/2006/main" count="711" uniqueCount="268">
  <si>
    <t>springframework</t>
    <phoneticPr fontId="1" type="noConversion"/>
  </si>
  <si>
    <t>3.2.8</t>
    <phoneticPr fontId="1" type="noConversion"/>
  </si>
  <si>
    <t>slf4j</t>
    <phoneticPr fontId="1" type="noConversion"/>
  </si>
  <si>
    <t>mybatis</t>
    <phoneticPr fontId="1" type="noConversion"/>
  </si>
  <si>
    <t>1.6.6</t>
    <phoneticPr fontId="1" type="noConversion"/>
  </si>
  <si>
    <t>2.8.3</t>
    <phoneticPr fontId="1" type="noConversion"/>
  </si>
  <si>
    <t>3.2.3</t>
    <phoneticPr fontId="1" type="noConversion"/>
  </si>
  <si>
    <t>spring MVC</t>
    <phoneticPr fontId="1" type="noConversion"/>
  </si>
  <si>
    <t>3.2.8</t>
    <phoneticPr fontId="1" type="noConversion"/>
  </si>
  <si>
    <t>servlet-api</t>
    <phoneticPr fontId="1" type="noConversion"/>
  </si>
  <si>
    <t>jsp-api</t>
    <phoneticPr fontId="1" type="noConversion"/>
  </si>
  <si>
    <t>el</t>
    <phoneticPr fontId="1" type="noConversion"/>
  </si>
  <si>
    <t>jstl</t>
    <phoneticPr fontId="1" type="noConversion"/>
  </si>
  <si>
    <t>3.0.1</t>
    <phoneticPr fontId="1" type="noConversion"/>
  </si>
  <si>
    <t>jxls</t>
    <phoneticPr fontId="1" type="noConversion"/>
  </si>
  <si>
    <t>json-simple</t>
    <phoneticPr fontId="1" type="noConversion"/>
  </si>
  <si>
    <t>jackson</t>
    <phoneticPr fontId="1" type="noConversion"/>
  </si>
  <si>
    <t>oracle</t>
    <phoneticPr fontId="1" type="noConversion"/>
  </si>
  <si>
    <t>1.0.5</t>
    <phoneticPr fontId="1" type="noConversion"/>
  </si>
  <si>
    <t>1.9.13</t>
    <phoneticPr fontId="1" type="noConversion"/>
  </si>
  <si>
    <t>10.2.0.4.0</t>
    <phoneticPr fontId="1" type="noConversion"/>
  </si>
  <si>
    <t>1.4.0</t>
    <phoneticPr fontId="1" type="noConversion"/>
  </si>
  <si>
    <t>Exception Handling 및 Logging 처리</t>
    <phoneticPr fontId="1" type="noConversion"/>
  </si>
  <si>
    <t>Locale 변경 처리</t>
    <phoneticPr fontId="1" type="noConversion"/>
  </si>
  <si>
    <t>코드데이터 캐쉬 구성</t>
    <phoneticPr fontId="1" type="noConversion"/>
  </si>
  <si>
    <t>EasyUI 설정 및 적용</t>
    <phoneticPr fontId="1" type="noConversion"/>
  </si>
  <si>
    <t>메세지리소스 적용(로케일 적용)</t>
    <phoneticPr fontId="1" type="noConversion"/>
  </si>
  <si>
    <t>타입</t>
    <phoneticPr fontId="1" type="noConversion"/>
  </si>
  <si>
    <t>JDBC</t>
    <phoneticPr fontId="1" type="noConversion"/>
  </si>
  <si>
    <t>프레임워크</t>
    <phoneticPr fontId="1" type="noConversion"/>
  </si>
  <si>
    <t>화면UI</t>
    <phoneticPr fontId="1" type="noConversion"/>
  </si>
  <si>
    <t>구분</t>
    <phoneticPr fontId="1" type="noConversion"/>
  </si>
  <si>
    <t>Logging</t>
    <phoneticPr fontId="1" type="noConversion"/>
  </si>
  <si>
    <t>Caching</t>
    <phoneticPr fontId="1" type="noConversion"/>
  </si>
  <si>
    <t>Data Access</t>
    <phoneticPr fontId="1" type="noConversion"/>
  </si>
  <si>
    <t>View</t>
    <phoneticPr fontId="1" type="noConversion"/>
  </si>
  <si>
    <t>Core</t>
    <phoneticPr fontId="1" type="noConversion"/>
  </si>
  <si>
    <t>Excel</t>
    <phoneticPr fontId="1" type="noConversion"/>
  </si>
  <si>
    <t>View</t>
    <phoneticPr fontId="1" type="noConversion"/>
  </si>
  <si>
    <t>View</t>
    <phoneticPr fontId="1" type="noConversion"/>
  </si>
  <si>
    <t>WEB</t>
    <phoneticPr fontId="1" type="noConversion"/>
  </si>
  <si>
    <t>비밀번호 변경횟수 누적 및 리셋</t>
    <phoneticPr fontId="1" type="noConversion"/>
  </si>
  <si>
    <t>로그인, 로그아웃, 사용자로깅</t>
    <phoneticPr fontId="1" type="noConversion"/>
  </si>
  <si>
    <t>프레이워크 통합 구성</t>
    <phoneticPr fontId="1" type="noConversion"/>
  </si>
  <si>
    <t>프레임워크 개발환경 설정</t>
    <phoneticPr fontId="1" type="noConversion"/>
  </si>
  <si>
    <t>상단메뉴, 좌측메뉴 개발</t>
    <phoneticPr fontId="1" type="noConversion"/>
  </si>
  <si>
    <t>그리드 기본 설정</t>
    <phoneticPr fontId="1" type="noConversion"/>
  </si>
  <si>
    <t>그리드 편집 설정</t>
    <phoneticPr fontId="1" type="noConversion"/>
  </si>
  <si>
    <t>코드관리 개발작업</t>
    <phoneticPr fontId="1" type="noConversion"/>
  </si>
  <si>
    <t>사용자관리 개발작업</t>
    <phoneticPr fontId="1" type="noConversion"/>
  </si>
  <si>
    <t>화면관리 개발작업</t>
    <phoneticPr fontId="1" type="noConversion"/>
  </si>
  <si>
    <t>메뉴관리 개발작업</t>
    <phoneticPr fontId="1" type="noConversion"/>
  </si>
  <si>
    <t>접근권한VIEW 적용 및 권한적용 테스트</t>
    <phoneticPr fontId="1" type="noConversion"/>
  </si>
  <si>
    <t>그룹관리 개발작업</t>
    <phoneticPr fontId="1" type="noConversion"/>
  </si>
  <si>
    <t>사용자그룹관리 개발작업</t>
    <phoneticPr fontId="1" type="noConversion"/>
  </si>
  <si>
    <t>사용자화면관리 개발작업</t>
    <phoneticPr fontId="1" type="noConversion"/>
  </si>
  <si>
    <t>그룹화면관리 개발작업</t>
    <phoneticPr fontId="1" type="noConversion"/>
  </si>
  <si>
    <t>페이징처리 테스트 및 수정</t>
    <phoneticPr fontId="1" type="noConversion"/>
  </si>
  <si>
    <t>첨부파일 업로드 개발작업</t>
    <phoneticPr fontId="1" type="noConversion"/>
  </si>
  <si>
    <t>첨부파일 다운로드 개발작업</t>
    <phoneticPr fontId="1" type="noConversion"/>
  </si>
  <si>
    <t>파일업로드 플러그인 추가적용</t>
    <phoneticPr fontId="1" type="noConversion"/>
  </si>
  <si>
    <t>웹에디터 플러그인 추가적용</t>
    <phoneticPr fontId="1" type="noConversion"/>
  </si>
  <si>
    <t>화면개발</t>
    <phoneticPr fontId="1" type="noConversion"/>
  </si>
  <si>
    <t>시스템관리</t>
  </si>
  <si>
    <t>공문관리(게)</t>
  </si>
  <si>
    <t>용어관리</t>
  </si>
  <si>
    <t>프레임워크</t>
    <phoneticPr fontId="1" type="noConversion"/>
  </si>
  <si>
    <t>공통개발</t>
    <phoneticPr fontId="1" type="noConversion"/>
  </si>
  <si>
    <t>Spring</t>
    <phoneticPr fontId="1" type="noConversion"/>
  </si>
  <si>
    <t>Mybatis</t>
    <phoneticPr fontId="1" type="noConversion"/>
  </si>
  <si>
    <t>Logging</t>
    <phoneticPr fontId="1" type="noConversion"/>
  </si>
  <si>
    <t>Mybatis</t>
    <phoneticPr fontId="1" type="noConversion"/>
  </si>
  <si>
    <t>Exception</t>
    <phoneticPr fontId="1" type="noConversion"/>
  </si>
  <si>
    <t>Resource</t>
    <phoneticPr fontId="1" type="noConversion"/>
  </si>
  <si>
    <t>Locale</t>
    <phoneticPr fontId="1" type="noConversion"/>
  </si>
  <si>
    <t>Cache</t>
    <phoneticPr fontId="1" type="noConversion"/>
  </si>
  <si>
    <t>Security</t>
    <phoneticPr fontId="1" type="noConversion"/>
  </si>
  <si>
    <t>Mybatis</t>
    <phoneticPr fontId="1" type="noConversion"/>
  </si>
  <si>
    <t>Security</t>
    <phoneticPr fontId="1" type="noConversion"/>
  </si>
  <si>
    <t>Common</t>
    <phoneticPr fontId="1" type="noConversion"/>
  </si>
  <si>
    <t>시스템관리</t>
    <phoneticPr fontId="1" type="noConversion"/>
  </si>
  <si>
    <t>서버개발</t>
    <phoneticPr fontId="1" type="noConversion"/>
  </si>
  <si>
    <t>서버개발</t>
    <phoneticPr fontId="1" type="noConversion"/>
  </si>
  <si>
    <t>서버개발</t>
    <phoneticPr fontId="1" type="noConversion"/>
  </si>
  <si>
    <t>ehcache 설정 및 구성</t>
    <phoneticPr fontId="1" type="noConversion"/>
  </si>
  <si>
    <t>화면개발</t>
    <phoneticPr fontId="1" type="noConversion"/>
  </si>
  <si>
    <t>서버개발</t>
    <phoneticPr fontId="1" type="noConversion"/>
  </si>
  <si>
    <t>화면개발</t>
    <phoneticPr fontId="1" type="noConversion"/>
  </si>
  <si>
    <t>초기화면</t>
    <phoneticPr fontId="1" type="noConversion"/>
  </si>
  <si>
    <t>공문/게시판</t>
    <phoneticPr fontId="1" type="noConversion"/>
  </si>
  <si>
    <t>사용자공통</t>
    <phoneticPr fontId="1" type="noConversion"/>
  </si>
  <si>
    <t>게시판</t>
    <phoneticPr fontId="1" type="noConversion"/>
  </si>
  <si>
    <t>공문 수/발신 이력조회</t>
    <phoneticPr fontId="1" type="noConversion"/>
  </si>
  <si>
    <t>전자메일-수신,발신,보관,발송</t>
    <phoneticPr fontId="1" type="noConversion"/>
  </si>
  <si>
    <t>업체관리</t>
    <phoneticPr fontId="1" type="noConversion"/>
  </si>
  <si>
    <t>동호회관리(회원관리,게시판,앨범)</t>
    <phoneticPr fontId="1" type="noConversion"/>
  </si>
  <si>
    <t>배치작업현황</t>
    <phoneticPr fontId="1" type="noConversion"/>
  </si>
  <si>
    <t>일정관리(개인,공유일정)</t>
    <phoneticPr fontId="1" type="noConversion"/>
  </si>
  <si>
    <t>엑셀다운로드 개발</t>
    <phoneticPr fontId="1" type="noConversion"/>
  </si>
  <si>
    <t>버튼권한 설정</t>
    <phoneticPr fontId="1" type="noConversion"/>
  </si>
  <si>
    <t>콤보그리드 적용(사용자관리 예제)</t>
    <phoneticPr fontId="1" type="noConversion"/>
  </si>
  <si>
    <t>엑셀다운로드 적용</t>
    <phoneticPr fontId="1" type="noConversion"/>
  </si>
  <si>
    <t>Configuration</t>
    <phoneticPr fontId="1" type="noConversion"/>
  </si>
  <si>
    <t>EasyUI</t>
    <phoneticPr fontId="1" type="noConversion"/>
  </si>
  <si>
    <t>사용자관리</t>
    <phoneticPr fontId="1" type="noConversion"/>
  </si>
  <si>
    <t>그룹관리</t>
    <phoneticPr fontId="1" type="noConversion"/>
  </si>
  <si>
    <t>코드관리</t>
    <phoneticPr fontId="1" type="noConversion"/>
  </si>
  <si>
    <t>메뉴관리</t>
    <phoneticPr fontId="1" type="noConversion"/>
  </si>
  <si>
    <t>화면관리</t>
    <phoneticPr fontId="1" type="noConversion"/>
  </si>
  <si>
    <t>사용자그룹관리</t>
    <phoneticPr fontId="1" type="noConversion"/>
  </si>
  <si>
    <t>사용자화면관리</t>
    <phoneticPr fontId="1" type="noConversion"/>
  </si>
  <si>
    <t>그룹화면관리</t>
    <phoneticPr fontId="1" type="noConversion"/>
  </si>
  <si>
    <t>Web Editor</t>
    <phoneticPr fontId="1" type="noConversion"/>
  </si>
  <si>
    <t>File Control</t>
    <phoneticPr fontId="1" type="noConversion"/>
  </si>
  <si>
    <t>Pagination</t>
    <phoneticPr fontId="1" type="noConversion"/>
  </si>
  <si>
    <t>EasyUI</t>
    <phoneticPr fontId="1" type="noConversion"/>
  </si>
  <si>
    <t>Excel Control</t>
    <phoneticPr fontId="1" type="noConversion"/>
  </si>
  <si>
    <t>Security</t>
    <phoneticPr fontId="1" type="noConversion"/>
  </si>
  <si>
    <t>동호회관리</t>
    <phoneticPr fontId="1" type="noConversion"/>
  </si>
  <si>
    <t>업체관리</t>
    <phoneticPr fontId="1" type="noConversion"/>
  </si>
  <si>
    <t>일정관리</t>
    <phoneticPr fontId="1" type="noConversion"/>
  </si>
  <si>
    <t>코드관리(BP)</t>
    <phoneticPr fontId="1" type="noConversion"/>
  </si>
  <si>
    <t>코드이력관리</t>
    <phoneticPr fontId="1" type="noConversion"/>
  </si>
  <si>
    <t>코드관리</t>
    <phoneticPr fontId="1" type="noConversion"/>
  </si>
  <si>
    <t>용어관리</t>
    <phoneticPr fontId="1" type="noConversion"/>
  </si>
  <si>
    <t>로그인현황</t>
    <phoneticPr fontId="1" type="noConversion"/>
  </si>
  <si>
    <t>로그인현황(사용자로그 조회)</t>
    <phoneticPr fontId="1" type="noConversion"/>
  </si>
  <si>
    <t>배치현황</t>
    <phoneticPr fontId="1" type="noConversion"/>
  </si>
  <si>
    <t>서버개발/화면개발</t>
  </si>
  <si>
    <t>환경설정/서버개발</t>
  </si>
  <si>
    <t>개발방법</t>
    <phoneticPr fontId="1" type="noConversion"/>
  </si>
  <si>
    <t>작업내용</t>
    <phoneticPr fontId="1" type="noConversion"/>
  </si>
  <si>
    <t>분류1</t>
    <phoneticPr fontId="1" type="noConversion"/>
  </si>
  <si>
    <t>분류2</t>
    <phoneticPr fontId="1" type="noConversion"/>
  </si>
  <si>
    <t>분류3</t>
    <phoneticPr fontId="1" type="noConversion"/>
  </si>
  <si>
    <t>완료</t>
    <phoneticPr fontId="1" type="noConversion"/>
  </si>
  <si>
    <t>○</t>
    <phoneticPr fontId="1" type="noConversion"/>
  </si>
  <si>
    <t>작업
시작일</t>
    <phoneticPr fontId="1" type="noConversion"/>
  </si>
  <si>
    <t>작업
종료일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</si>
  <si>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</si>
  <si>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</si>
  <si>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</si>
  <si>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</si>
  <si>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Z</t>
    <phoneticPr fontId="1" type="noConversion"/>
  </si>
  <si>
    <t>C</t>
    <phoneticPr fontId="1" type="noConversion"/>
  </si>
  <si>
    <t>우선
순위</t>
    <phoneticPr fontId="1" type="noConversion"/>
  </si>
  <si>
    <t>WSC FRAMEWORK PROJECT 개발일정</t>
    <phoneticPr fontId="1" type="noConversion"/>
  </si>
  <si>
    <t>jquery-easyui</t>
    <phoneticPr fontId="1" type="noConversion"/>
  </si>
  <si>
    <t>jquery-sceditor</t>
    <phoneticPr fontId="1" type="noConversion"/>
  </si>
  <si>
    <t>jquery-uploadfile</t>
    <phoneticPr fontId="1" type="noConversion"/>
  </si>
  <si>
    <t>jquery-json</t>
    <phoneticPr fontId="1" type="noConversion"/>
  </si>
  <si>
    <t>1.4.5</t>
    <phoneticPr fontId="1" type="noConversion"/>
  </si>
  <si>
    <t>sceditor.com</t>
    <phoneticPr fontId="1" type="noConversion"/>
  </si>
  <si>
    <t>jeasyui.com</t>
    <phoneticPr fontId="1" type="noConversion"/>
  </si>
  <si>
    <t>hayageek.com/docs/jquery-upload-file.php</t>
    <phoneticPr fontId="1" type="noConversion"/>
  </si>
  <si>
    <t>www.json.org</t>
    <phoneticPr fontId="1" type="noConversion"/>
  </si>
  <si>
    <t>ehcache</t>
    <phoneticPr fontId="1" type="noConversion"/>
  </si>
  <si>
    <t>ehcache.org</t>
    <phoneticPr fontId="1" type="noConversion"/>
  </si>
  <si>
    <t>mybatis.github.io</t>
    <phoneticPr fontId="1" type="noConversion"/>
  </si>
  <si>
    <t>spring.io</t>
    <phoneticPr fontId="1" type="noConversion"/>
  </si>
  <si>
    <t>www.slf4j.org</t>
    <phoneticPr fontId="1" type="noConversion"/>
  </si>
  <si>
    <t>관련 URL</t>
    <phoneticPr fontId="1" type="noConversion"/>
  </si>
  <si>
    <t>jxls.sourceforge.net</t>
    <phoneticPr fontId="1" type="noConversion"/>
  </si>
  <si>
    <t>code.google.com/p/json-simple</t>
  </si>
  <si>
    <t>jackson.codehaus.org</t>
    <phoneticPr fontId="1" type="noConversion"/>
  </si>
  <si>
    <t>적용 
버전</t>
    <phoneticPr fontId="1" type="noConversion"/>
  </si>
  <si>
    <t>적용 
라이브러리</t>
    <phoneticPr fontId="1" type="noConversion"/>
  </si>
  <si>
    <t>프레임워크 공통 상위클래스 정의</t>
    <phoneticPr fontId="1" type="noConversion"/>
  </si>
  <si>
    <t>프레임워크 Mybatis 설정 및 구성</t>
    <phoneticPr fontId="1" type="noConversion"/>
  </si>
  <si>
    <t>프레임워크 Log4j 설정 및 구성</t>
    <phoneticPr fontId="1" type="noConversion"/>
  </si>
  <si>
    <t>인증 및 권한처리 구성</t>
    <phoneticPr fontId="1" type="noConversion"/>
  </si>
  <si>
    <t>SYS_ID 기본설정 구성(세션처리)</t>
    <phoneticPr fontId="1" type="noConversion"/>
  </si>
  <si>
    <t>기본 템플릿 및 화면 레이아웃 설정</t>
    <phoneticPr fontId="1" type="noConversion"/>
  </si>
  <si>
    <t>페이징 처리 설정 및 그리드 페이징 연동</t>
    <phoneticPr fontId="1" type="noConversion"/>
  </si>
  <si>
    <t>폼패널 및 팝업폼 설정 및 편집기능 구현</t>
    <phoneticPr fontId="1" type="noConversion"/>
  </si>
  <si>
    <t>코드 연동된 콤보 검색 설정</t>
    <phoneticPr fontId="1" type="noConversion"/>
  </si>
  <si>
    <t>메뉴 검색시 권한연동 설정</t>
    <phoneticPr fontId="1" type="noConversion"/>
  </si>
  <si>
    <t>MyPage 기능 구현</t>
    <phoneticPr fontId="1" type="noConversion"/>
  </si>
  <si>
    <t>웹디자인 적용 작업</t>
    <phoneticPr fontId="1" type="noConversion"/>
  </si>
  <si>
    <t>iReport를 활용한 출력기능 구현</t>
    <phoneticPr fontId="1" type="noConversion"/>
  </si>
  <si>
    <t>대쉬보드(Alarm)</t>
    <phoneticPr fontId="1" type="noConversion"/>
  </si>
  <si>
    <t>알람</t>
    <phoneticPr fontId="1" type="noConversion"/>
  </si>
  <si>
    <t>팝업</t>
    <phoneticPr fontId="1" type="noConversion"/>
  </si>
  <si>
    <t>공통 INCLUDE 생성</t>
    <phoneticPr fontId="1" type="noConversion"/>
  </si>
  <si>
    <t>각 기능별 통합테스트</t>
    <phoneticPr fontId="1" type="noConversion"/>
  </si>
  <si>
    <t>A</t>
    <phoneticPr fontId="1" type="noConversion"/>
  </si>
  <si>
    <t>MyPage</t>
  </si>
  <si>
    <t>사이트맵</t>
  </si>
  <si>
    <t>Design</t>
    <phoneticPr fontId="1" type="noConversion"/>
  </si>
  <si>
    <t>Document</t>
    <phoneticPr fontId="1" type="noConversion"/>
  </si>
  <si>
    <t>Test</t>
    <phoneticPr fontId="1" type="noConversion"/>
  </si>
  <si>
    <t>Printing</t>
    <phoneticPr fontId="1" type="noConversion"/>
  </si>
  <si>
    <t>Menu</t>
    <phoneticPr fontId="1" type="noConversion"/>
  </si>
  <si>
    <t>테스트</t>
    <phoneticPr fontId="1" type="noConversion"/>
  </si>
  <si>
    <t>문서</t>
    <phoneticPr fontId="1" type="noConversion"/>
  </si>
  <si>
    <t xml:space="preserve">JDK </t>
    <phoneticPr fontId="1" type="noConversion"/>
  </si>
  <si>
    <t>WAS</t>
    <phoneticPr fontId="1" type="noConversion"/>
  </si>
  <si>
    <t>java</t>
    <phoneticPr fontId="1" type="noConversion"/>
  </si>
  <si>
    <t>apache-tomcat</t>
    <phoneticPr fontId="1" type="noConversion"/>
  </si>
  <si>
    <t>서버환경</t>
    <phoneticPr fontId="1" type="noConversion"/>
  </si>
  <si>
    <t>서버환경</t>
    <phoneticPr fontId="1" type="noConversion"/>
  </si>
  <si>
    <t>7.0</t>
    <phoneticPr fontId="1" type="noConversion"/>
  </si>
  <si>
    <t>엑셀로더 개발</t>
    <phoneticPr fontId="1" type="noConversion"/>
  </si>
  <si>
    <t>긴급통보서(게)</t>
    <phoneticPr fontId="1" type="noConversion"/>
  </si>
  <si>
    <t>전자메일-개인주소록 관리 및 게시대상 설정</t>
    <phoneticPr fontId="1" type="noConversion"/>
  </si>
  <si>
    <t>전자메일-그룹주소록 관리 및 게시대상 설정</t>
    <phoneticPr fontId="1" type="noConversion"/>
  </si>
  <si>
    <t>시스템관리</t>
    <phoneticPr fontId="1" type="noConversion"/>
  </si>
  <si>
    <t>자료실(게)</t>
    <phoneticPr fontId="1" type="noConversion"/>
  </si>
  <si>
    <t>공지사항(게) - 게시기간 설정</t>
    <phoneticPr fontId="1" type="noConversion"/>
  </si>
  <si>
    <t>일반게시판(게)</t>
    <phoneticPr fontId="1" type="noConversion"/>
  </si>
  <si>
    <t>관리자의 사용자별 자동로그인 기능</t>
    <phoneticPr fontId="1" type="noConversion"/>
  </si>
  <si>
    <t>코드엑셀로더 개발작업</t>
    <phoneticPr fontId="1" type="noConversion"/>
  </si>
  <si>
    <t>Q&amp;A(게) - 답변게시판 트리그리드 적용</t>
    <phoneticPr fontId="1" type="noConversion"/>
  </si>
  <si>
    <t>그리드의 헤더 정렬 적용</t>
    <phoneticPr fontId="1" type="noConversion"/>
  </si>
  <si>
    <t>사이트맵 구현 - 탭없는페이지 샘플</t>
    <phoneticPr fontId="1" type="noConversion"/>
  </si>
  <si>
    <t>즐겨찾기메뉴(HOTMENU) - 컨텍스트메뉴 설정</t>
    <phoneticPr fontId="1" type="noConversion"/>
  </si>
  <si>
    <t>사용자관리</t>
    <phoneticPr fontId="1" type="noConversion"/>
  </si>
  <si>
    <t>코드엑셀로더</t>
    <phoneticPr fontId="1" type="noConversion"/>
  </si>
  <si>
    <t>통합게시판 관리</t>
    <phoneticPr fontId="1" type="noConversion"/>
  </si>
  <si>
    <t>핫메뉴</t>
    <phoneticPr fontId="1" type="noConversion"/>
  </si>
  <si>
    <t>Z</t>
    <phoneticPr fontId="1" type="noConversion"/>
  </si>
  <si>
    <t>Z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</si>
  <si>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</si>
  <si>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</si>
  <si>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</si>
  <si>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</si>
  <si>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</si>
  <si>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</si>
  <si>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</si>
  <si>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</si>
  <si>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</si>
  <si>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</si>
  <si>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jquery-fullcalendar</t>
    <phoneticPr fontId="1" type="noConversion"/>
  </si>
  <si>
    <t>리포팅툴</t>
    <phoneticPr fontId="1" type="noConversion"/>
  </si>
  <si>
    <t>iReport</t>
    <phoneticPr fontId="1" type="noConversion"/>
  </si>
  <si>
    <t>2.1.1</t>
    <phoneticPr fontId="1" type="noConversion"/>
  </si>
  <si>
    <t>fullcalendar.io</t>
    <phoneticPr fontId="1" type="noConversion"/>
  </si>
  <si>
    <t>5.6.0</t>
    <phoneticPr fontId="1" type="noConversion"/>
  </si>
  <si>
    <t>sourceforge.net/projects/ireport/</t>
    <phoneticPr fontId="1" type="noConversion"/>
  </si>
  <si>
    <t>그리드 다중정렬,로컬정렬,콤보정렬 샘플작업</t>
    <phoneticPr fontId="1" type="noConversion"/>
  </si>
  <si>
    <t>일정관리(개인,공유일정) - 공유대상설정</t>
    <phoneticPr fontId="1" type="noConversion"/>
  </si>
  <si>
    <t>건설협회 - 프레임탭 제거</t>
    <phoneticPr fontId="1" type="noConversion"/>
  </si>
  <si>
    <t>건설협회 - 단계콤보 작업</t>
    <phoneticPr fontId="1" type="noConversion"/>
  </si>
  <si>
    <t>건설협회 - 공통레이아웃 디자인적용</t>
    <phoneticPr fontId="1" type="noConversion"/>
  </si>
  <si>
    <t>공지사항(게)</t>
    <phoneticPr fontId="1" type="noConversion"/>
  </si>
  <si>
    <t>도움말(게)</t>
    <phoneticPr fontId="1" type="noConversion"/>
  </si>
  <si>
    <t>도움말(게) - 개인도움말(E-Help)</t>
    <phoneticPr fontId="1" type="noConversion"/>
  </si>
  <si>
    <t>프로젝트지원</t>
    <phoneticPr fontId="1" type="noConversion"/>
  </si>
  <si>
    <t>건설협회</t>
    <phoneticPr fontId="1" type="noConversion"/>
  </si>
  <si>
    <t>EasyUI</t>
    <phoneticPr fontId="1" type="noConversion"/>
  </si>
  <si>
    <t>POPUP(게)</t>
    <phoneticPr fontId="1" type="noConversion"/>
  </si>
  <si>
    <t>POPUP(게) - POPUP 메인공지</t>
    <phoneticPr fontId="1" type="noConversion"/>
  </si>
  <si>
    <t>공통개발</t>
    <phoneticPr fontId="1" type="noConversion"/>
  </si>
  <si>
    <t>예상
일정</t>
    <phoneticPr fontId="1" type="noConversion"/>
  </si>
  <si>
    <t>화면개발</t>
    <phoneticPr fontId="1" type="noConversion"/>
  </si>
  <si>
    <t>예상
누적</t>
    <phoneticPr fontId="1" type="noConversion"/>
  </si>
  <si>
    <t>DB 변경문서 업데이트</t>
    <phoneticPr fontId="1" type="noConversion"/>
  </si>
  <si>
    <t>프레임워크</t>
    <phoneticPr fontId="1" type="noConversion"/>
  </si>
  <si>
    <t>개발가이드 문서 작업</t>
    <phoneticPr fontId="1" type="noConversion"/>
  </si>
  <si>
    <t>NO</t>
    <phoneticPr fontId="1" type="noConversion"/>
  </si>
  <si>
    <t>프레임워크 트랜젝션 설정 및 어노테이션 처리</t>
    <phoneticPr fontId="1" type="noConversion"/>
  </si>
  <si>
    <t>프레임워크 서비스 트랜젝션 테스트</t>
    <phoneticPr fontId="1" type="noConversion"/>
  </si>
  <si>
    <t>게시판</t>
    <phoneticPr fontId="1" type="noConversion"/>
  </si>
  <si>
    <t>작업
순번</t>
    <phoneticPr fontId="1" type="noConversion"/>
  </si>
  <si>
    <t>개발
순번</t>
    <phoneticPr fontId="1" type="noConversion"/>
  </si>
  <si>
    <t>X</t>
    <phoneticPr fontId="1" type="noConversion"/>
  </si>
  <si>
    <r>
      <rPr>
        <b/>
        <sz val="9"/>
        <rFont val="맑은 고딕"/>
        <family val="3"/>
        <charset val="129"/>
        <scheme val="major"/>
      </rPr>
      <t>화면</t>
    </r>
    <r>
      <rPr>
        <b/>
        <sz val="9"/>
        <color theme="1"/>
        <rFont val="맑은 고딕"/>
        <family val="3"/>
        <charset val="129"/>
        <scheme val="major"/>
      </rPr>
      <t>/</t>
    </r>
    <r>
      <rPr>
        <b/>
        <sz val="9"/>
        <rFont val="맑은 고딕"/>
        <family val="3"/>
        <charset val="129"/>
        <scheme val="major"/>
      </rPr>
      <t>용어관리</t>
    </r>
    <phoneticPr fontId="3" type="noConversion"/>
  </si>
  <si>
    <r>
      <rPr>
        <b/>
        <sz val="9"/>
        <rFont val="맑은 고딕"/>
        <family val="3"/>
        <charset val="129"/>
        <scheme val="major"/>
      </rPr>
      <t>코드관리</t>
    </r>
    <r>
      <rPr>
        <b/>
        <sz val="9"/>
        <color theme="1"/>
        <rFont val="맑은 고딕"/>
        <family val="3"/>
        <charset val="129"/>
        <scheme val="major"/>
      </rPr>
      <t>(BP)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</si>
</sst>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\ &quot;일&quot;"/>
    <numFmt numFmtId="177" formatCode="#,##0.0\ &quot;일&quot;"/>
  </numFmts>
  <fonts count="10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b/>
      <sz val="22"/>
      <color theme="8" tint="-0.49998474074526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8" tint="-0.499984740745262"/>
      </left>
      <right style="thin">
        <color indexed="64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indexed="64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6" fontId="4" fillId="7" borderId="1" xfId="0" applyNumberFormat="1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177" fontId="5" fillId="8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Normal="100" workbookViewId="0">
      <selection activeCell="F35" sqref="F35"/>
    </sheetView>
  </sheetViews>
  <sheetFormatPr defaultRowHeight="12" x14ac:dyDescent="0.2"/>
  <cols>
    <col min="1" max="1" width="10.28515625" bestFit="1" customWidth="1"/>
    <col min="2" max="2" width="11.28515625" bestFit="1" customWidth="1"/>
    <col min="3" max="3" width="15.140625" bestFit="1" customWidth="1"/>
    <col min="4" max="4" width="11.7109375" style="11" customWidth="1"/>
    <col min="5" max="5" width="38" bestFit="1" customWidth="1"/>
  </cols>
  <sheetData>
    <row r="1" spans="1:5" ht="30.75" customHeight="1" x14ac:dyDescent="0.2">
      <c r="A1" s="12" t="s">
        <v>27</v>
      </c>
      <c r="B1" s="12" t="s">
        <v>31</v>
      </c>
      <c r="C1" s="14" t="s">
        <v>166</v>
      </c>
      <c r="D1" s="14" t="s">
        <v>165</v>
      </c>
      <c r="E1" s="12" t="s">
        <v>161</v>
      </c>
    </row>
    <row r="2" spans="1:5" ht="15" customHeight="1" x14ac:dyDescent="0.2">
      <c r="A2" s="1" t="s">
        <v>199</v>
      </c>
      <c r="B2" s="1" t="s">
        <v>195</v>
      </c>
      <c r="C2" s="1" t="s">
        <v>197</v>
      </c>
      <c r="D2" s="22">
        <v>1.6</v>
      </c>
      <c r="E2" s="13"/>
    </row>
    <row r="3" spans="1:5" ht="15" customHeight="1" x14ac:dyDescent="0.2">
      <c r="A3" s="1" t="s">
        <v>200</v>
      </c>
      <c r="B3" s="1" t="s">
        <v>196</v>
      </c>
      <c r="C3" s="1" t="s">
        <v>198</v>
      </c>
      <c r="D3" s="22" t="s">
        <v>201</v>
      </c>
      <c r="E3" s="13"/>
    </row>
    <row r="4" spans="1:5" ht="15" customHeight="1" x14ac:dyDescent="0.2">
      <c r="A4" s="1" t="s">
        <v>29</v>
      </c>
      <c r="B4" s="1" t="s">
        <v>36</v>
      </c>
      <c r="C4" s="1" t="s">
        <v>0</v>
      </c>
      <c r="D4" s="22" t="s">
        <v>1</v>
      </c>
      <c r="E4" s="13" t="s">
        <v>159</v>
      </c>
    </row>
    <row r="5" spans="1:5" ht="15" customHeight="1" x14ac:dyDescent="0.2">
      <c r="A5" s="1" t="s">
        <v>29</v>
      </c>
      <c r="B5" s="1" t="s">
        <v>32</v>
      </c>
      <c r="C5" s="1" t="s">
        <v>2</v>
      </c>
      <c r="D5" s="22" t="s">
        <v>4</v>
      </c>
      <c r="E5" s="1" t="s">
        <v>160</v>
      </c>
    </row>
    <row r="6" spans="1:5" ht="15" customHeight="1" x14ac:dyDescent="0.2">
      <c r="A6" s="1" t="s">
        <v>29</v>
      </c>
      <c r="B6" s="1" t="s">
        <v>33</v>
      </c>
      <c r="C6" s="1" t="s">
        <v>156</v>
      </c>
      <c r="D6" s="22" t="s">
        <v>5</v>
      </c>
      <c r="E6" s="13" t="s">
        <v>157</v>
      </c>
    </row>
    <row r="7" spans="1:5" ht="15" customHeight="1" x14ac:dyDescent="0.2">
      <c r="A7" s="1" t="s">
        <v>29</v>
      </c>
      <c r="B7" s="1" t="s">
        <v>34</v>
      </c>
      <c r="C7" s="1" t="s">
        <v>3</v>
      </c>
      <c r="D7" s="22" t="s">
        <v>6</v>
      </c>
      <c r="E7" s="13" t="s">
        <v>158</v>
      </c>
    </row>
    <row r="8" spans="1:5" ht="15" customHeight="1" x14ac:dyDescent="0.2">
      <c r="A8" s="1" t="s">
        <v>29</v>
      </c>
      <c r="B8" s="1" t="s">
        <v>35</v>
      </c>
      <c r="C8" s="1" t="s">
        <v>7</v>
      </c>
      <c r="D8" s="22" t="s">
        <v>8</v>
      </c>
      <c r="E8" s="13" t="s">
        <v>159</v>
      </c>
    </row>
    <row r="9" spans="1:5" ht="15" customHeight="1" x14ac:dyDescent="0.2">
      <c r="A9" s="1" t="s">
        <v>29</v>
      </c>
      <c r="B9" s="1" t="s">
        <v>36</v>
      </c>
      <c r="C9" s="1" t="s">
        <v>9</v>
      </c>
      <c r="D9" s="22" t="s">
        <v>13</v>
      </c>
      <c r="E9" s="1"/>
    </row>
    <row r="10" spans="1:5" ht="15" customHeight="1" x14ac:dyDescent="0.2">
      <c r="A10" s="1" t="s">
        <v>29</v>
      </c>
      <c r="B10" s="1" t="s">
        <v>36</v>
      </c>
      <c r="C10" s="1" t="s">
        <v>10</v>
      </c>
      <c r="D10" s="22">
        <v>2.2000000000000002</v>
      </c>
      <c r="E10" s="1"/>
    </row>
    <row r="11" spans="1:5" ht="15" customHeight="1" x14ac:dyDescent="0.2">
      <c r="A11" s="1" t="s">
        <v>29</v>
      </c>
      <c r="B11" s="1" t="s">
        <v>36</v>
      </c>
      <c r="C11" s="1" t="s">
        <v>11</v>
      </c>
      <c r="D11" s="22">
        <v>2.2000000000000002</v>
      </c>
      <c r="E11" s="1"/>
    </row>
    <row r="12" spans="1:5" ht="15" customHeight="1" x14ac:dyDescent="0.2">
      <c r="A12" s="1" t="s">
        <v>29</v>
      </c>
      <c r="B12" s="1" t="s">
        <v>36</v>
      </c>
      <c r="C12" s="1" t="s">
        <v>12</v>
      </c>
      <c r="D12" s="22">
        <v>1.2</v>
      </c>
      <c r="E12" s="1"/>
    </row>
    <row r="13" spans="1:5" ht="15" customHeight="1" x14ac:dyDescent="0.2">
      <c r="A13" s="1" t="s">
        <v>29</v>
      </c>
      <c r="B13" s="1" t="s">
        <v>28</v>
      </c>
      <c r="C13" s="1" t="s">
        <v>17</v>
      </c>
      <c r="D13" s="22" t="s">
        <v>20</v>
      </c>
      <c r="E13" s="1"/>
    </row>
    <row r="14" spans="1:5" ht="15" customHeight="1" x14ac:dyDescent="0.2">
      <c r="A14" s="1" t="s">
        <v>29</v>
      </c>
      <c r="B14" s="1" t="s">
        <v>37</v>
      </c>
      <c r="C14" s="1" t="s">
        <v>14</v>
      </c>
      <c r="D14" s="22" t="s">
        <v>18</v>
      </c>
      <c r="E14" s="1" t="s">
        <v>162</v>
      </c>
    </row>
    <row r="15" spans="1:5" ht="15" customHeight="1" x14ac:dyDescent="0.2">
      <c r="A15" s="1" t="s">
        <v>29</v>
      </c>
      <c r="B15" s="1" t="s">
        <v>38</v>
      </c>
      <c r="C15" s="1" t="s">
        <v>15</v>
      </c>
      <c r="D15" s="22">
        <v>1.1000000000000001</v>
      </c>
      <c r="E15" s="1" t="s">
        <v>163</v>
      </c>
    </row>
    <row r="16" spans="1:5" ht="15" customHeight="1" x14ac:dyDescent="0.2">
      <c r="A16" s="1" t="s">
        <v>29</v>
      </c>
      <c r="B16" s="1" t="s">
        <v>39</v>
      </c>
      <c r="C16" s="1" t="s">
        <v>16</v>
      </c>
      <c r="D16" s="22" t="s">
        <v>19</v>
      </c>
      <c r="E16" s="1" t="s">
        <v>164</v>
      </c>
    </row>
    <row r="17" spans="1:5" ht="15" customHeight="1" x14ac:dyDescent="0.2">
      <c r="A17" s="1" t="s">
        <v>30</v>
      </c>
      <c r="B17" s="1" t="s">
        <v>40</v>
      </c>
      <c r="C17" s="1" t="s">
        <v>147</v>
      </c>
      <c r="D17" s="22" t="s">
        <v>21</v>
      </c>
      <c r="E17" s="13" t="s">
        <v>153</v>
      </c>
    </row>
    <row r="18" spans="1:5" ht="15" customHeight="1" x14ac:dyDescent="0.2">
      <c r="A18" s="1" t="s">
        <v>30</v>
      </c>
      <c r="B18" s="1" t="s">
        <v>40</v>
      </c>
      <c r="C18" s="13" t="s">
        <v>148</v>
      </c>
      <c r="D18" s="23" t="s">
        <v>151</v>
      </c>
      <c r="E18" s="1" t="s">
        <v>152</v>
      </c>
    </row>
    <row r="19" spans="1:5" ht="15" customHeight="1" x14ac:dyDescent="0.2">
      <c r="A19" s="1" t="s">
        <v>30</v>
      </c>
      <c r="B19" s="1" t="s">
        <v>40</v>
      </c>
      <c r="C19" s="13" t="s">
        <v>149</v>
      </c>
      <c r="D19" s="22">
        <v>3.1</v>
      </c>
      <c r="E19" s="1" t="s">
        <v>154</v>
      </c>
    </row>
    <row r="20" spans="1:5" ht="15" customHeight="1" x14ac:dyDescent="0.2">
      <c r="A20" s="1" t="s">
        <v>30</v>
      </c>
      <c r="B20" s="1" t="s">
        <v>40</v>
      </c>
      <c r="C20" s="13" t="s">
        <v>150</v>
      </c>
      <c r="D20" s="22">
        <v>2.2999999999999998</v>
      </c>
      <c r="E20" s="1" t="s">
        <v>155</v>
      </c>
    </row>
    <row r="21" spans="1:5" ht="15" customHeight="1" x14ac:dyDescent="0.2">
      <c r="A21" s="1" t="s">
        <v>30</v>
      </c>
      <c r="B21" s="1" t="s">
        <v>40</v>
      </c>
      <c r="C21" s="13" t="s">
        <v>232</v>
      </c>
      <c r="D21" s="22" t="s">
        <v>235</v>
      </c>
      <c r="E21" s="1" t="s">
        <v>236</v>
      </c>
    </row>
    <row r="22" spans="1:5" x14ac:dyDescent="0.2">
      <c r="A22" s="1" t="s">
        <v>233</v>
      </c>
      <c r="B22" s="1" t="s">
        <v>40</v>
      </c>
      <c r="C22" s="13" t="s">
        <v>234</v>
      </c>
      <c r="D22" s="22" t="s">
        <v>237</v>
      </c>
      <c r="E22" s="1" t="s">
        <v>238</v>
      </c>
    </row>
    <row r="23" spans="1:5" x14ac:dyDescent="0.2">
      <c r="A23" s="1"/>
      <c r="B23" s="1"/>
      <c r="C23" s="13"/>
      <c r="D23" s="22"/>
      <c r="E23" s="1"/>
    </row>
  </sheetData>
  <phoneticPr fontId="1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tabSelected="1" view="pageBreakPreview" zoomScale="60" zoomScaleNormal="100" workbookViewId="0">
      <selection activeCell="D4" sqref="D4"/>
    </sheetView>
  </sheetViews>
  <sheetFormatPr defaultRowHeight="30.75" customHeight="1" x14ac:dyDescent="0.2"/>
  <cols>
    <col min="1" max="1" width="8.7109375" style="4" bestFit="1" customWidth="1"/>
    <col min="2" max="3" width="9.42578125" style="4" customWidth="1"/>
    <col min="4" max="4" width="12.28515625" style="5" bestFit="1" customWidth="1"/>
    <col min="5" max="5" width="12.5703125" style="5" bestFit="1" customWidth="1"/>
    <col min="6" max="6" width="14.140625" style="5" bestFit="1" customWidth="1"/>
    <col min="7" max="7" width="41" style="6" bestFit="1" customWidth="1"/>
    <col min="8" max="8" width="9.42578125" style="4" customWidth="1"/>
    <col min="9" max="10" width="9.42578125" style="15" bestFit="1" customWidth="1"/>
    <col min="11" max="11" width="16.85546875" style="5" customWidth="1"/>
    <col min="12" max="12" width="12.85546875" style="4" customWidth="1"/>
    <col min="13" max="13" width="12.42578125" style="4" customWidth="1"/>
    <col min="14" max="14" width="6.7109375" style="10" customWidth="1"/>
    <col min="15" max="15" width="13.7109375" style="2" customWidth="1"/>
    <col min="16" max="16384" width="9.140625" style="2"/>
  </cols>
  <sheetData>
    <row r="1" spans="1:14" ht="30.75" customHeight="1" thickTop="1" thickBot="1" x14ac:dyDescent="0.25">
      <c r="A1" s="31" t="s">
        <v>146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9" customHeight="1" thickTop="1" x14ac:dyDescent="0.2">
      <c r="A2" s="5"/>
      <c r="B2" s="5"/>
      <c r="C2" s="5"/>
      <c r="E2" s="6"/>
      <c r="F2" s="4"/>
      <c r="G2" s="4"/>
    </row>
    <row r="3" spans="1:14" ht="30.75" customHeight="1" x14ac:dyDescent="0.2">
      <c r="A3" s="28" t="s">
        <v>259</v>
      </c>
      <c r="B3" s="28" t="s">
        <v>264</v>
      </c>
      <c r="C3" s="28" t="s">
        <v>263</v>
      </c>
      <c r="D3" s="27" t="s">
        <v>132</v>
      </c>
      <c r="E3" s="27" t="s">
        <v>133</v>
      </c>
      <c r="F3" s="27" t="s">
        <v>134</v>
      </c>
      <c r="G3" s="27" t="s">
        <v>131</v>
      </c>
      <c r="H3" s="28" t="s">
        <v>145</v>
      </c>
      <c r="I3" s="29" t="s">
        <v>253</v>
      </c>
      <c r="J3" s="29" t="s">
        <v>255</v>
      </c>
      <c r="K3" s="27" t="s">
        <v>130</v>
      </c>
      <c r="L3" s="28" t="s">
        <v>137</v>
      </c>
      <c r="M3" s="28" t="s">
        <v>138</v>
      </c>
      <c r="N3" s="30" t="s">
        <v>135</v>
      </c>
    </row>
    <row r="4" spans="1:14" ht="20.100000000000001" customHeight="1" x14ac:dyDescent="0.2">
      <c r="A4" s="3">
        <v>1</v>
      </c>
      <c r="B4" s="3">
        <v>1</v>
      </c>
      <c r="C4" s="3">
        <v>0</v>
      </c>
      <c r="D4" s="7" t="s">
        <v>66</v>
      </c>
      <c r="E4" s="7" t="s">
        <v>102</v>
      </c>
      <c r="F4" s="7" t="s">
        <v>68</v>
      </c>
      <c r="G4" s="25" t="s">
        <v>44</v>
      </c>
      <c r="H4" s="3" t="s">
        <v>139</v>
      </c>
      <c r="I4" s="16"/>
      <c r="J4" s="16"/>
      <c r="K4" s="7" t="s">
        <v>129</v>
      </c>
      <c r="L4" s="8">
        <v>41841</v>
      </c>
      <c r="M4" s="8">
        <v>41845</v>
      </c>
      <c r="N4" s="9" t="s">
        <v>136</v>
      </c>
    </row>
    <row r="5" spans="1:14" ht="20.100000000000001" customHeight="1" x14ac:dyDescent="0.2">
      <c r="A5" s="3">
        <v>2</v>
      </c>
      <c r="B5" s="3">
        <v>2</v>
      </c>
      <c r="C5" s="3">
        <v>0</v>
      </c>
      <c r="D5" s="7" t="s">
        <v>66</v>
      </c>
      <c r="E5" s="7" t="s">
        <v>102</v>
      </c>
      <c r="F5" s="7" t="s">
        <v>68</v>
      </c>
      <c r="G5" s="25" t="s">
        <v>43</v>
      </c>
      <c r="H5" s="3" t="s">
        <v>139</v>
      </c>
      <c r="I5" s="16"/>
      <c r="J5" s="16"/>
      <c r="K5" s="7" t="s">
        <v>129</v>
      </c>
      <c r="L5" s="8">
        <v>41841</v>
      </c>
      <c r="M5" s="8">
        <v>41845</v>
      </c>
      <c r="N5" s="9" t="s">
        <v>136</v>
      </c>
    </row>
    <row r="6" spans="1:14" ht="20.100000000000001" customHeight="1" x14ac:dyDescent="0.2">
      <c r="A6" s="3">
        <v>4</v>
      </c>
      <c r="B6" s="3">
        <v>3</v>
      </c>
      <c r="C6" s="3">
        <v>0</v>
      </c>
      <c r="D6" s="7" t="s">
        <v>66</v>
      </c>
      <c r="E6" s="7" t="s">
        <v>102</v>
      </c>
      <c r="F6" s="7" t="s">
        <v>69</v>
      </c>
      <c r="G6" s="25" t="s">
        <v>168</v>
      </c>
      <c r="H6" s="3" t="s">
        <v>139</v>
      </c>
      <c r="I6" s="16"/>
      <c r="J6" s="16"/>
      <c r="K6" s="7" t="s">
        <v>129</v>
      </c>
      <c r="L6" s="8">
        <v>41841</v>
      </c>
      <c r="M6" s="8">
        <v>41845</v>
      </c>
      <c r="N6" s="9" t="s">
        <v>136</v>
      </c>
    </row>
    <row r="7" spans="1:14" ht="20.100000000000001" customHeight="1" x14ac:dyDescent="0.2">
      <c r="A7" s="3">
        <v>9</v>
      </c>
      <c r="B7" s="3">
        <v>4</v>
      </c>
      <c r="C7" s="3">
        <v>0</v>
      </c>
      <c r="D7" s="7" t="s">
        <v>66</v>
      </c>
      <c r="E7" s="7" t="s">
        <v>102</v>
      </c>
      <c r="F7" s="7" t="s">
        <v>70</v>
      </c>
      <c r="G7" s="25" t="s">
        <v>169</v>
      </c>
      <c r="H7" s="3" t="s">
        <v>139</v>
      </c>
      <c r="I7" s="16"/>
      <c r="J7" s="16"/>
      <c r="K7" s="7" t="s">
        <v>129</v>
      </c>
      <c r="L7" s="8">
        <v>41841</v>
      </c>
      <c r="M7" s="8">
        <v>41845</v>
      </c>
      <c r="N7" s="9" t="s">
        <v>136</v>
      </c>
    </row>
    <row r="8" spans="1:14" ht="20.100000000000001" customHeight="1" x14ac:dyDescent="0.2">
      <c r="A8" s="3">
        <v>5</v>
      </c>
      <c r="B8" s="3">
        <v>5</v>
      </c>
      <c r="C8" s="3">
        <v>0</v>
      </c>
      <c r="D8" s="7" t="s">
        <v>66</v>
      </c>
      <c r="E8" s="7" t="s">
        <v>102</v>
      </c>
      <c r="F8" s="7" t="s">
        <v>71</v>
      </c>
      <c r="G8" s="25" t="s">
        <v>260</v>
      </c>
      <c r="H8" s="3" t="s">
        <v>139</v>
      </c>
      <c r="I8" s="16"/>
      <c r="J8" s="16"/>
      <c r="K8" s="7" t="s">
        <v>129</v>
      </c>
      <c r="L8" s="8">
        <v>41841</v>
      </c>
      <c r="M8" s="8">
        <v>41845</v>
      </c>
      <c r="N8" s="9" t="s">
        <v>136</v>
      </c>
    </row>
    <row r="9" spans="1:14" ht="20.100000000000001" customHeight="1" x14ac:dyDescent="0.2">
      <c r="A9" s="3">
        <v>3</v>
      </c>
      <c r="B9" s="3">
        <v>6</v>
      </c>
      <c r="C9" s="3">
        <v>0</v>
      </c>
      <c r="D9" s="7" t="s">
        <v>66</v>
      </c>
      <c r="E9" s="7" t="s">
        <v>102</v>
      </c>
      <c r="F9" s="7" t="s">
        <v>68</v>
      </c>
      <c r="G9" s="25" t="s">
        <v>167</v>
      </c>
      <c r="H9" s="3" t="s">
        <v>139</v>
      </c>
      <c r="I9" s="16"/>
      <c r="J9" s="16"/>
      <c r="K9" s="7" t="s">
        <v>81</v>
      </c>
      <c r="L9" s="8">
        <v>41841</v>
      </c>
      <c r="M9" s="8">
        <v>41845</v>
      </c>
      <c r="N9" s="9" t="s">
        <v>136</v>
      </c>
    </row>
    <row r="10" spans="1:14" ht="20.100000000000001" customHeight="1" x14ac:dyDescent="0.2">
      <c r="A10" s="3">
        <v>7</v>
      </c>
      <c r="B10" s="3">
        <v>7</v>
      </c>
      <c r="C10" s="3">
        <v>0</v>
      </c>
      <c r="D10" s="7" t="s">
        <v>66</v>
      </c>
      <c r="E10" s="7" t="s">
        <v>102</v>
      </c>
      <c r="F10" s="7" t="s">
        <v>72</v>
      </c>
      <c r="G10" s="25" t="s">
        <v>22</v>
      </c>
      <c r="H10" s="3" t="s">
        <v>139</v>
      </c>
      <c r="I10" s="16"/>
      <c r="J10" s="16"/>
      <c r="K10" s="7" t="s">
        <v>129</v>
      </c>
      <c r="L10" s="8">
        <v>41841</v>
      </c>
      <c r="M10" s="8">
        <v>41845</v>
      </c>
      <c r="N10" s="9" t="s">
        <v>136</v>
      </c>
    </row>
    <row r="11" spans="1:14" ht="20.100000000000001" customHeight="1" x14ac:dyDescent="0.2">
      <c r="A11" s="3">
        <v>8</v>
      </c>
      <c r="B11" s="3">
        <v>8</v>
      </c>
      <c r="C11" s="3">
        <v>0</v>
      </c>
      <c r="D11" s="7" t="s">
        <v>66</v>
      </c>
      <c r="E11" s="7" t="s">
        <v>102</v>
      </c>
      <c r="F11" s="7" t="s">
        <v>73</v>
      </c>
      <c r="G11" s="25" t="s">
        <v>26</v>
      </c>
      <c r="H11" s="3" t="s">
        <v>139</v>
      </c>
      <c r="I11" s="16"/>
      <c r="J11" s="16"/>
      <c r="K11" s="7" t="s">
        <v>129</v>
      </c>
      <c r="L11" s="8">
        <v>41848</v>
      </c>
      <c r="M11" s="8">
        <v>41852</v>
      </c>
      <c r="N11" s="9" t="s">
        <v>136</v>
      </c>
    </row>
    <row r="12" spans="1:14" ht="20.100000000000001" customHeight="1" x14ac:dyDescent="0.2">
      <c r="A12" s="3">
        <v>10</v>
      </c>
      <c r="B12" s="3">
        <v>9</v>
      </c>
      <c r="C12" s="3">
        <v>0</v>
      </c>
      <c r="D12" s="7" t="s">
        <v>66</v>
      </c>
      <c r="E12" s="7" t="s">
        <v>102</v>
      </c>
      <c r="F12" s="7" t="s">
        <v>74</v>
      </c>
      <c r="G12" s="25" t="s">
        <v>23</v>
      </c>
      <c r="H12" s="3" t="s">
        <v>139</v>
      </c>
      <c r="I12" s="16"/>
      <c r="J12" s="16"/>
      <c r="K12" s="7" t="s">
        <v>82</v>
      </c>
      <c r="L12" s="8">
        <v>41848</v>
      </c>
      <c r="M12" s="8">
        <v>41852</v>
      </c>
      <c r="N12" s="9" t="s">
        <v>136</v>
      </c>
    </row>
    <row r="13" spans="1:14" ht="20.100000000000001" customHeight="1" x14ac:dyDescent="0.2">
      <c r="A13" s="3">
        <v>11</v>
      </c>
      <c r="B13" s="3">
        <v>10</v>
      </c>
      <c r="C13" s="3">
        <v>0</v>
      </c>
      <c r="D13" s="7" t="s">
        <v>66</v>
      </c>
      <c r="E13" s="7" t="s">
        <v>102</v>
      </c>
      <c r="F13" s="7" t="s">
        <v>75</v>
      </c>
      <c r="G13" s="25" t="s">
        <v>84</v>
      </c>
      <c r="H13" s="3" t="s">
        <v>139</v>
      </c>
      <c r="I13" s="16"/>
      <c r="J13" s="16"/>
      <c r="K13" s="7" t="s">
        <v>129</v>
      </c>
      <c r="L13" s="8">
        <v>41848</v>
      </c>
      <c r="M13" s="8">
        <v>41852</v>
      </c>
      <c r="N13" s="9" t="s">
        <v>136</v>
      </c>
    </row>
    <row r="14" spans="1:14" ht="20.100000000000001" customHeight="1" x14ac:dyDescent="0.2">
      <c r="A14" s="3">
        <v>12</v>
      </c>
      <c r="B14" s="3">
        <v>11</v>
      </c>
      <c r="C14" s="3">
        <v>0</v>
      </c>
      <c r="D14" s="7" t="s">
        <v>66</v>
      </c>
      <c r="E14" s="7" t="s">
        <v>102</v>
      </c>
      <c r="F14" s="7" t="s">
        <v>75</v>
      </c>
      <c r="G14" s="25" t="s">
        <v>24</v>
      </c>
      <c r="H14" s="3" t="s">
        <v>139</v>
      </c>
      <c r="I14" s="16"/>
      <c r="J14" s="16"/>
      <c r="K14" s="7" t="s">
        <v>82</v>
      </c>
      <c r="L14" s="8">
        <v>41848</v>
      </c>
      <c r="M14" s="8">
        <v>41852</v>
      </c>
      <c r="N14" s="9" t="s">
        <v>136</v>
      </c>
    </row>
    <row r="15" spans="1:14" ht="20.100000000000001" customHeight="1" x14ac:dyDescent="0.2">
      <c r="A15" s="3">
        <v>13</v>
      </c>
      <c r="B15" s="3">
        <v>12</v>
      </c>
      <c r="C15" s="3">
        <v>0</v>
      </c>
      <c r="D15" s="7" t="s">
        <v>66</v>
      </c>
      <c r="E15" s="7" t="s">
        <v>102</v>
      </c>
      <c r="F15" s="7" t="s">
        <v>76</v>
      </c>
      <c r="G15" s="25" t="s">
        <v>42</v>
      </c>
      <c r="H15" s="3" t="s">
        <v>139</v>
      </c>
      <c r="I15" s="16"/>
      <c r="J15" s="16"/>
      <c r="K15" s="7" t="s">
        <v>128</v>
      </c>
      <c r="L15" s="8">
        <v>41848</v>
      </c>
      <c r="M15" s="8">
        <v>41852</v>
      </c>
      <c r="N15" s="9" t="s">
        <v>136</v>
      </c>
    </row>
    <row r="16" spans="1:14" ht="20.100000000000001" customHeight="1" x14ac:dyDescent="0.2">
      <c r="A16" s="3">
        <v>14</v>
      </c>
      <c r="B16" s="3">
        <v>13</v>
      </c>
      <c r="C16" s="3">
        <v>0</v>
      </c>
      <c r="D16" s="7" t="s">
        <v>66</v>
      </c>
      <c r="E16" s="7" t="s">
        <v>102</v>
      </c>
      <c r="F16" s="7" t="s">
        <v>76</v>
      </c>
      <c r="G16" s="25" t="s">
        <v>170</v>
      </c>
      <c r="H16" s="3" t="s">
        <v>139</v>
      </c>
      <c r="I16" s="16"/>
      <c r="J16" s="16"/>
      <c r="K16" s="7" t="s">
        <v>83</v>
      </c>
      <c r="L16" s="8">
        <v>41848</v>
      </c>
      <c r="M16" s="8">
        <v>41852</v>
      </c>
      <c r="N16" s="9" t="s">
        <v>136</v>
      </c>
    </row>
    <row r="17" spans="1:14" ht="20.100000000000001" customHeight="1" x14ac:dyDescent="0.2">
      <c r="A17" s="3">
        <v>15</v>
      </c>
      <c r="B17" s="3">
        <v>14</v>
      </c>
      <c r="C17" s="3">
        <v>0</v>
      </c>
      <c r="D17" s="7" t="s">
        <v>66</v>
      </c>
      <c r="E17" s="7" t="s">
        <v>102</v>
      </c>
      <c r="F17" s="7" t="s">
        <v>76</v>
      </c>
      <c r="G17" s="25" t="s">
        <v>171</v>
      </c>
      <c r="H17" s="3" t="s">
        <v>139</v>
      </c>
      <c r="I17" s="16"/>
      <c r="J17" s="16"/>
      <c r="K17" s="7" t="s">
        <v>83</v>
      </c>
      <c r="L17" s="8">
        <v>41848</v>
      </c>
      <c r="M17" s="8">
        <v>41852</v>
      </c>
      <c r="N17" s="9" t="s">
        <v>136</v>
      </c>
    </row>
    <row r="18" spans="1:14" ht="20.100000000000001" customHeight="1" x14ac:dyDescent="0.2">
      <c r="A18" s="3">
        <v>16</v>
      </c>
      <c r="B18" s="3">
        <v>15</v>
      </c>
      <c r="C18" s="3">
        <v>0</v>
      </c>
      <c r="D18" s="7" t="s">
        <v>66</v>
      </c>
      <c r="E18" s="7" t="s">
        <v>102</v>
      </c>
      <c r="F18" s="7" t="s">
        <v>76</v>
      </c>
      <c r="G18" s="25" t="s">
        <v>41</v>
      </c>
      <c r="H18" s="3" t="s">
        <v>139</v>
      </c>
      <c r="I18" s="16"/>
      <c r="J18" s="16"/>
      <c r="K18" s="7" t="s">
        <v>83</v>
      </c>
      <c r="L18" s="8">
        <v>41848</v>
      </c>
      <c r="M18" s="8">
        <v>41852</v>
      </c>
      <c r="N18" s="9" t="s">
        <v>136</v>
      </c>
    </row>
    <row r="19" spans="1:14" ht="20.100000000000001" customHeight="1" x14ac:dyDescent="0.2">
      <c r="A19" s="3">
        <v>33</v>
      </c>
      <c r="B19" s="3">
        <v>16</v>
      </c>
      <c r="C19" s="3">
        <v>0</v>
      </c>
      <c r="D19" s="7" t="s">
        <v>66</v>
      </c>
      <c r="E19" s="7" t="s">
        <v>79</v>
      </c>
      <c r="F19" s="7" t="s">
        <v>103</v>
      </c>
      <c r="G19" s="25" t="s">
        <v>25</v>
      </c>
      <c r="H19" s="3" t="s">
        <v>139</v>
      </c>
      <c r="I19" s="16"/>
      <c r="J19" s="16"/>
      <c r="K19" s="7" t="s">
        <v>129</v>
      </c>
      <c r="L19" s="8">
        <v>41855</v>
      </c>
      <c r="M19" s="8">
        <v>41859</v>
      </c>
      <c r="N19" s="9" t="s">
        <v>136</v>
      </c>
    </row>
    <row r="20" spans="1:14" ht="20.100000000000001" customHeight="1" x14ac:dyDescent="0.2">
      <c r="A20" s="3">
        <v>18</v>
      </c>
      <c r="B20" s="3">
        <v>17</v>
      </c>
      <c r="C20" s="3">
        <v>0</v>
      </c>
      <c r="D20" s="7" t="s">
        <v>66</v>
      </c>
      <c r="E20" s="7" t="s">
        <v>79</v>
      </c>
      <c r="F20" s="7" t="s">
        <v>79</v>
      </c>
      <c r="G20" s="25" t="s">
        <v>183</v>
      </c>
      <c r="H20" s="3" t="s">
        <v>139</v>
      </c>
      <c r="I20" s="16"/>
      <c r="J20" s="16"/>
      <c r="K20" s="7" t="s">
        <v>85</v>
      </c>
      <c r="L20" s="8">
        <v>41855</v>
      </c>
      <c r="M20" s="8">
        <v>41859</v>
      </c>
      <c r="N20" s="9" t="s">
        <v>136</v>
      </c>
    </row>
    <row r="21" spans="1:14" ht="20.100000000000001" customHeight="1" x14ac:dyDescent="0.2">
      <c r="A21" s="3">
        <v>34</v>
      </c>
      <c r="B21" s="3">
        <v>18</v>
      </c>
      <c r="C21" s="3">
        <v>0</v>
      </c>
      <c r="D21" s="7" t="s">
        <v>66</v>
      </c>
      <c r="E21" s="7" t="s">
        <v>79</v>
      </c>
      <c r="F21" s="7" t="s">
        <v>103</v>
      </c>
      <c r="G21" s="25" t="s">
        <v>45</v>
      </c>
      <c r="H21" s="3" t="s">
        <v>139</v>
      </c>
      <c r="I21" s="16"/>
      <c r="J21" s="16"/>
      <c r="K21" s="7" t="s">
        <v>128</v>
      </c>
      <c r="L21" s="8">
        <v>41855</v>
      </c>
      <c r="M21" s="8">
        <v>41859</v>
      </c>
      <c r="N21" s="9" t="s">
        <v>136</v>
      </c>
    </row>
    <row r="22" spans="1:14" ht="20.100000000000001" customHeight="1" x14ac:dyDescent="0.2">
      <c r="A22" s="3">
        <v>35</v>
      </c>
      <c r="B22" s="3">
        <v>19</v>
      </c>
      <c r="C22" s="3">
        <v>0</v>
      </c>
      <c r="D22" s="7" t="s">
        <v>66</v>
      </c>
      <c r="E22" s="7" t="s">
        <v>79</v>
      </c>
      <c r="F22" s="7" t="s">
        <v>103</v>
      </c>
      <c r="G22" s="25" t="s">
        <v>172</v>
      </c>
      <c r="H22" s="3" t="s">
        <v>139</v>
      </c>
      <c r="I22" s="16"/>
      <c r="J22" s="16"/>
      <c r="K22" s="7" t="s">
        <v>85</v>
      </c>
      <c r="L22" s="8">
        <v>41855</v>
      </c>
      <c r="M22" s="8">
        <v>41859</v>
      </c>
      <c r="N22" s="9" t="s">
        <v>136</v>
      </c>
    </row>
    <row r="23" spans="1:14" ht="20.100000000000001" customHeight="1" x14ac:dyDescent="0.2">
      <c r="A23" s="3">
        <v>36</v>
      </c>
      <c r="B23" s="3">
        <v>20</v>
      </c>
      <c r="C23" s="3">
        <v>0</v>
      </c>
      <c r="D23" s="7" t="s">
        <v>66</v>
      </c>
      <c r="E23" s="7" t="s">
        <v>79</v>
      </c>
      <c r="F23" s="7" t="s">
        <v>103</v>
      </c>
      <c r="G23" s="25" t="s">
        <v>46</v>
      </c>
      <c r="H23" s="3" t="s">
        <v>139</v>
      </c>
      <c r="I23" s="16"/>
      <c r="J23" s="16"/>
      <c r="K23" s="7" t="s">
        <v>128</v>
      </c>
      <c r="L23" s="8">
        <v>41855</v>
      </c>
      <c r="M23" s="8">
        <v>41859</v>
      </c>
      <c r="N23" s="9" t="s">
        <v>136</v>
      </c>
    </row>
    <row r="24" spans="1:14" ht="20.100000000000001" customHeight="1" x14ac:dyDescent="0.2">
      <c r="A24" s="3">
        <v>37</v>
      </c>
      <c r="B24" s="3">
        <v>21</v>
      </c>
      <c r="C24" s="3">
        <v>0</v>
      </c>
      <c r="D24" s="7" t="s">
        <v>66</v>
      </c>
      <c r="E24" s="7" t="s">
        <v>79</v>
      </c>
      <c r="F24" s="7" t="s">
        <v>103</v>
      </c>
      <c r="G24" s="25" t="s">
        <v>47</v>
      </c>
      <c r="H24" s="3" t="s">
        <v>139</v>
      </c>
      <c r="I24" s="16"/>
      <c r="J24" s="16"/>
      <c r="K24" s="7" t="s">
        <v>85</v>
      </c>
      <c r="L24" s="8">
        <v>41855</v>
      </c>
      <c r="M24" s="8">
        <v>41859</v>
      </c>
      <c r="N24" s="9" t="s">
        <v>136</v>
      </c>
    </row>
    <row r="25" spans="1:14" ht="20.100000000000001" customHeight="1" x14ac:dyDescent="0.2">
      <c r="A25" s="3">
        <v>38</v>
      </c>
      <c r="B25" s="3">
        <v>22</v>
      </c>
      <c r="C25" s="3">
        <v>0</v>
      </c>
      <c r="D25" s="7" t="s">
        <v>66</v>
      </c>
      <c r="E25" s="7" t="s">
        <v>79</v>
      </c>
      <c r="F25" s="7" t="s">
        <v>103</v>
      </c>
      <c r="G25" s="25" t="s">
        <v>174</v>
      </c>
      <c r="H25" s="3" t="s">
        <v>139</v>
      </c>
      <c r="I25" s="16"/>
      <c r="J25" s="16"/>
      <c r="K25" s="7" t="s">
        <v>85</v>
      </c>
      <c r="L25" s="8">
        <v>41855</v>
      </c>
      <c r="M25" s="8">
        <v>41859</v>
      </c>
      <c r="N25" s="9" t="s">
        <v>136</v>
      </c>
    </row>
    <row r="26" spans="1:14" ht="20.100000000000001" customHeight="1" x14ac:dyDescent="0.2">
      <c r="A26" s="3">
        <v>39</v>
      </c>
      <c r="B26" s="3">
        <v>23</v>
      </c>
      <c r="C26" s="3">
        <v>0</v>
      </c>
      <c r="D26" s="7" t="s">
        <v>66</v>
      </c>
      <c r="E26" s="7" t="s">
        <v>79</v>
      </c>
      <c r="F26" s="7" t="s">
        <v>103</v>
      </c>
      <c r="G26" s="25" t="s">
        <v>175</v>
      </c>
      <c r="H26" s="3" t="s">
        <v>139</v>
      </c>
      <c r="I26" s="16"/>
      <c r="J26" s="16"/>
      <c r="K26" s="7" t="s">
        <v>128</v>
      </c>
      <c r="L26" s="8">
        <v>41855</v>
      </c>
      <c r="M26" s="8">
        <v>41859</v>
      </c>
      <c r="N26" s="9" t="s">
        <v>136</v>
      </c>
    </row>
    <row r="27" spans="1:14" ht="20.100000000000001" customHeight="1" x14ac:dyDescent="0.2">
      <c r="A27" s="3">
        <v>6</v>
      </c>
      <c r="B27" s="3">
        <v>24</v>
      </c>
      <c r="C27" s="3">
        <v>0</v>
      </c>
      <c r="D27" s="7" t="s">
        <v>66</v>
      </c>
      <c r="E27" s="7" t="s">
        <v>102</v>
      </c>
      <c r="F27" s="7" t="s">
        <v>77</v>
      </c>
      <c r="G27" s="25" t="s">
        <v>261</v>
      </c>
      <c r="H27" s="3" t="s">
        <v>139</v>
      </c>
      <c r="I27" s="16"/>
      <c r="J27" s="16"/>
      <c r="K27" s="7" t="s">
        <v>86</v>
      </c>
      <c r="L27" s="8">
        <v>41862</v>
      </c>
      <c r="M27" s="8">
        <v>41865</v>
      </c>
      <c r="N27" s="9" t="s">
        <v>136</v>
      </c>
    </row>
    <row r="28" spans="1:14" ht="20.100000000000001" customHeight="1" x14ac:dyDescent="0.2">
      <c r="A28" s="3">
        <v>17</v>
      </c>
      <c r="B28" s="3">
        <v>25</v>
      </c>
      <c r="C28" s="3">
        <v>0</v>
      </c>
      <c r="D28" s="7" t="s">
        <v>66</v>
      </c>
      <c r="E28" s="7" t="s">
        <v>102</v>
      </c>
      <c r="F28" s="7" t="s">
        <v>78</v>
      </c>
      <c r="G28" s="25" t="s">
        <v>52</v>
      </c>
      <c r="H28" s="3" t="s">
        <v>139</v>
      </c>
      <c r="I28" s="16"/>
      <c r="J28" s="16"/>
      <c r="K28" s="7" t="s">
        <v>86</v>
      </c>
      <c r="L28" s="8">
        <v>41862</v>
      </c>
      <c r="M28" s="8">
        <v>41865</v>
      </c>
      <c r="N28" s="9" t="s">
        <v>136</v>
      </c>
    </row>
    <row r="29" spans="1:14" ht="20.100000000000001" customHeight="1" x14ac:dyDescent="0.2">
      <c r="A29" s="3">
        <v>29</v>
      </c>
      <c r="B29" s="3">
        <v>26</v>
      </c>
      <c r="C29" s="3">
        <v>0</v>
      </c>
      <c r="D29" s="7" t="s">
        <v>29</v>
      </c>
      <c r="E29" s="7" t="s">
        <v>79</v>
      </c>
      <c r="F29" s="7" t="s">
        <v>114</v>
      </c>
      <c r="G29" s="25" t="s">
        <v>173</v>
      </c>
      <c r="H29" s="3" t="s">
        <v>185</v>
      </c>
      <c r="I29" s="16"/>
      <c r="J29" s="16"/>
      <c r="K29" s="7" t="s">
        <v>128</v>
      </c>
      <c r="L29" s="8">
        <v>41855</v>
      </c>
      <c r="M29" s="8">
        <v>41859</v>
      </c>
      <c r="N29" s="9" t="s">
        <v>136</v>
      </c>
    </row>
    <row r="30" spans="1:14" ht="20.100000000000001" customHeight="1" x14ac:dyDescent="0.2">
      <c r="A30" s="3">
        <v>45</v>
      </c>
      <c r="B30" s="3">
        <v>27</v>
      </c>
      <c r="C30" s="3">
        <v>0</v>
      </c>
      <c r="D30" s="7" t="s">
        <v>67</v>
      </c>
      <c r="E30" s="7" t="s">
        <v>80</v>
      </c>
      <c r="F30" s="7" t="s">
        <v>104</v>
      </c>
      <c r="G30" s="25" t="s">
        <v>49</v>
      </c>
      <c r="H30" s="3" t="s">
        <v>141</v>
      </c>
      <c r="I30" s="16"/>
      <c r="J30" s="16"/>
      <c r="K30" s="7" t="s">
        <v>128</v>
      </c>
      <c r="L30" s="8">
        <v>41862</v>
      </c>
      <c r="M30" s="8">
        <v>41865</v>
      </c>
      <c r="N30" s="9" t="s">
        <v>136</v>
      </c>
    </row>
    <row r="31" spans="1:14" ht="20.100000000000001" customHeight="1" x14ac:dyDescent="0.2">
      <c r="A31" s="3">
        <v>47</v>
      </c>
      <c r="B31" s="3">
        <v>28</v>
      </c>
      <c r="C31" s="3">
        <v>0</v>
      </c>
      <c r="D31" s="7" t="s">
        <v>67</v>
      </c>
      <c r="E31" s="7" t="s">
        <v>80</v>
      </c>
      <c r="F31" s="7" t="s">
        <v>105</v>
      </c>
      <c r="G31" s="25" t="s">
        <v>53</v>
      </c>
      <c r="H31" s="3" t="s">
        <v>141</v>
      </c>
      <c r="I31" s="16"/>
      <c r="J31" s="16"/>
      <c r="K31" s="7" t="s">
        <v>128</v>
      </c>
      <c r="L31" s="8">
        <v>41862</v>
      </c>
      <c r="M31" s="8">
        <v>41865</v>
      </c>
      <c r="N31" s="9" t="s">
        <v>136</v>
      </c>
    </row>
    <row r="32" spans="1:14" ht="20.100000000000001" customHeight="1" x14ac:dyDescent="0.2">
      <c r="A32" s="3">
        <v>53</v>
      </c>
      <c r="B32" s="3">
        <v>29</v>
      </c>
      <c r="C32" s="3">
        <v>0</v>
      </c>
      <c r="D32" s="7" t="s">
        <v>67</v>
      </c>
      <c r="E32" s="7" t="s">
        <v>80</v>
      </c>
      <c r="F32" s="7" t="s">
        <v>106</v>
      </c>
      <c r="G32" s="25" t="s">
        <v>48</v>
      </c>
      <c r="H32" s="3" t="s">
        <v>141</v>
      </c>
      <c r="I32" s="16"/>
      <c r="J32" s="16"/>
      <c r="K32" s="7" t="s">
        <v>128</v>
      </c>
      <c r="L32" s="8">
        <v>41862</v>
      </c>
      <c r="M32" s="8">
        <v>41865</v>
      </c>
      <c r="N32" s="9" t="s">
        <v>136</v>
      </c>
    </row>
    <row r="33" spans="1:14" ht="20.100000000000001" customHeight="1" x14ac:dyDescent="0.2">
      <c r="A33" s="3">
        <v>49</v>
      </c>
      <c r="B33" s="3">
        <v>30</v>
      </c>
      <c r="C33" s="3">
        <v>0</v>
      </c>
      <c r="D33" s="7" t="s">
        <v>67</v>
      </c>
      <c r="E33" s="7" t="s">
        <v>80</v>
      </c>
      <c r="F33" s="7" t="s">
        <v>107</v>
      </c>
      <c r="G33" s="25" t="s">
        <v>51</v>
      </c>
      <c r="H33" s="3" t="s">
        <v>141</v>
      </c>
      <c r="I33" s="16"/>
      <c r="J33" s="16"/>
      <c r="K33" s="7" t="s">
        <v>128</v>
      </c>
      <c r="L33" s="8">
        <v>41869</v>
      </c>
      <c r="M33" s="8">
        <v>41873</v>
      </c>
      <c r="N33" s="9" t="s">
        <v>136</v>
      </c>
    </row>
    <row r="34" spans="1:14" ht="20.100000000000001" customHeight="1" x14ac:dyDescent="0.2">
      <c r="A34" s="3">
        <v>48</v>
      </c>
      <c r="B34" s="3">
        <v>31</v>
      </c>
      <c r="C34" s="3">
        <v>0</v>
      </c>
      <c r="D34" s="7" t="s">
        <v>67</v>
      </c>
      <c r="E34" s="7" t="s">
        <v>80</v>
      </c>
      <c r="F34" s="7" t="s">
        <v>108</v>
      </c>
      <c r="G34" s="25" t="s">
        <v>50</v>
      </c>
      <c r="H34" s="3" t="s">
        <v>141</v>
      </c>
      <c r="I34" s="16"/>
      <c r="J34" s="16"/>
      <c r="K34" s="7" t="s">
        <v>128</v>
      </c>
      <c r="L34" s="8">
        <v>41869</v>
      </c>
      <c r="M34" s="8">
        <v>41873</v>
      </c>
      <c r="N34" s="9" t="s">
        <v>136</v>
      </c>
    </row>
    <row r="35" spans="1:14" ht="20.100000000000001" customHeight="1" x14ac:dyDescent="0.2">
      <c r="A35" s="3">
        <v>50</v>
      </c>
      <c r="B35" s="3">
        <v>32</v>
      </c>
      <c r="C35" s="3">
        <v>0</v>
      </c>
      <c r="D35" s="7" t="s">
        <v>67</v>
      </c>
      <c r="E35" s="7" t="s">
        <v>80</v>
      </c>
      <c r="F35" s="7" t="s">
        <v>109</v>
      </c>
      <c r="G35" s="25" t="s">
        <v>54</v>
      </c>
      <c r="H35" s="3" t="s">
        <v>141</v>
      </c>
      <c r="I35" s="16"/>
      <c r="J35" s="16"/>
      <c r="K35" s="7" t="s">
        <v>128</v>
      </c>
      <c r="L35" s="8">
        <v>41869</v>
      </c>
      <c r="M35" s="8">
        <v>41873</v>
      </c>
      <c r="N35" s="9" t="s">
        <v>136</v>
      </c>
    </row>
    <row r="36" spans="1:14" ht="20.100000000000001" customHeight="1" x14ac:dyDescent="0.2">
      <c r="A36" s="3">
        <v>51</v>
      </c>
      <c r="B36" s="3">
        <v>33</v>
      </c>
      <c r="C36" s="3">
        <v>0</v>
      </c>
      <c r="D36" s="7" t="s">
        <v>67</v>
      </c>
      <c r="E36" s="7" t="s">
        <v>80</v>
      </c>
      <c r="F36" s="7" t="s">
        <v>110</v>
      </c>
      <c r="G36" s="25" t="s">
        <v>55</v>
      </c>
      <c r="H36" s="3" t="s">
        <v>141</v>
      </c>
      <c r="I36" s="16"/>
      <c r="J36" s="16"/>
      <c r="K36" s="7" t="s">
        <v>128</v>
      </c>
      <c r="L36" s="8">
        <v>41869</v>
      </c>
      <c r="M36" s="8">
        <v>41873</v>
      </c>
      <c r="N36" s="9" t="s">
        <v>136</v>
      </c>
    </row>
    <row r="37" spans="1:14" ht="20.100000000000001" customHeight="1" x14ac:dyDescent="0.2">
      <c r="A37" s="3">
        <v>52</v>
      </c>
      <c r="B37" s="3">
        <v>34</v>
      </c>
      <c r="C37" s="3">
        <v>0</v>
      </c>
      <c r="D37" s="7" t="s">
        <v>67</v>
      </c>
      <c r="E37" s="7" t="s">
        <v>80</v>
      </c>
      <c r="F37" s="7" t="s">
        <v>111</v>
      </c>
      <c r="G37" s="25" t="s">
        <v>56</v>
      </c>
      <c r="H37" s="3" t="s">
        <v>141</v>
      </c>
      <c r="I37" s="16"/>
      <c r="J37" s="16"/>
      <c r="K37" s="7" t="s">
        <v>128</v>
      </c>
      <c r="L37" s="8">
        <v>41869</v>
      </c>
      <c r="M37" s="8">
        <v>41873</v>
      </c>
      <c r="N37" s="9" t="s">
        <v>136</v>
      </c>
    </row>
    <row r="38" spans="1:14" ht="20.100000000000001" customHeight="1" x14ac:dyDescent="0.2">
      <c r="A38" s="3">
        <v>42</v>
      </c>
      <c r="B38" s="3">
        <v>35</v>
      </c>
      <c r="C38" s="3">
        <v>0</v>
      </c>
      <c r="D38" s="7" t="s">
        <v>29</v>
      </c>
      <c r="E38" s="7" t="s">
        <v>79</v>
      </c>
      <c r="F38" s="7" t="s">
        <v>112</v>
      </c>
      <c r="G38" s="25" t="s">
        <v>61</v>
      </c>
      <c r="H38" s="3" t="s">
        <v>140</v>
      </c>
      <c r="I38" s="16"/>
      <c r="J38" s="16"/>
      <c r="K38" s="7" t="s">
        <v>87</v>
      </c>
      <c r="L38" s="8">
        <v>41876</v>
      </c>
      <c r="M38" s="8">
        <v>41880</v>
      </c>
      <c r="N38" s="9" t="s">
        <v>136</v>
      </c>
    </row>
    <row r="39" spans="1:14" ht="20.100000000000001" customHeight="1" x14ac:dyDescent="0.2">
      <c r="A39" s="3">
        <v>26</v>
      </c>
      <c r="B39" s="3">
        <v>36</v>
      </c>
      <c r="C39" s="3">
        <v>0</v>
      </c>
      <c r="D39" s="7" t="s">
        <v>29</v>
      </c>
      <c r="E39" s="7" t="s">
        <v>79</v>
      </c>
      <c r="F39" s="7" t="s">
        <v>113</v>
      </c>
      <c r="G39" s="25" t="s">
        <v>60</v>
      </c>
      <c r="H39" s="3" t="s">
        <v>140</v>
      </c>
      <c r="I39" s="16"/>
      <c r="J39" s="16"/>
      <c r="K39" s="7" t="s">
        <v>128</v>
      </c>
      <c r="L39" s="8">
        <v>41876</v>
      </c>
      <c r="M39" s="8">
        <v>41880</v>
      </c>
      <c r="N39" s="9" t="s">
        <v>136</v>
      </c>
    </row>
    <row r="40" spans="1:14" ht="20.100000000000001" customHeight="1" x14ac:dyDescent="0.2">
      <c r="A40" s="3">
        <v>27</v>
      </c>
      <c r="B40" s="3">
        <v>37</v>
      </c>
      <c r="C40" s="3">
        <v>0</v>
      </c>
      <c r="D40" s="7" t="s">
        <v>29</v>
      </c>
      <c r="E40" s="7" t="s">
        <v>79</v>
      </c>
      <c r="F40" s="7" t="s">
        <v>113</v>
      </c>
      <c r="G40" s="25" t="s">
        <v>58</v>
      </c>
      <c r="H40" s="3" t="s">
        <v>140</v>
      </c>
      <c r="I40" s="16"/>
      <c r="J40" s="16"/>
      <c r="K40" s="7" t="s">
        <v>128</v>
      </c>
      <c r="L40" s="8">
        <v>41876</v>
      </c>
      <c r="M40" s="8">
        <v>41880</v>
      </c>
      <c r="N40" s="9" t="s">
        <v>136</v>
      </c>
    </row>
    <row r="41" spans="1:14" ht="20.100000000000001" customHeight="1" x14ac:dyDescent="0.2">
      <c r="A41" s="3">
        <v>28</v>
      </c>
      <c r="B41" s="3">
        <v>38</v>
      </c>
      <c r="C41" s="3">
        <v>0</v>
      </c>
      <c r="D41" s="7" t="s">
        <v>29</v>
      </c>
      <c r="E41" s="7" t="s">
        <v>79</v>
      </c>
      <c r="F41" s="7" t="s">
        <v>113</v>
      </c>
      <c r="G41" s="25" t="s">
        <v>59</v>
      </c>
      <c r="H41" s="3" t="s">
        <v>140</v>
      </c>
      <c r="I41" s="16"/>
      <c r="J41" s="16"/>
      <c r="K41" s="7" t="s">
        <v>128</v>
      </c>
      <c r="L41" s="8">
        <v>41876</v>
      </c>
      <c r="M41" s="8">
        <v>41880</v>
      </c>
      <c r="N41" s="9" t="s">
        <v>136</v>
      </c>
    </row>
    <row r="42" spans="1:14" ht="20.100000000000001" customHeight="1" x14ac:dyDescent="0.2">
      <c r="A42" s="3">
        <v>30</v>
      </c>
      <c r="B42" s="3">
        <v>39</v>
      </c>
      <c r="C42" s="3">
        <v>0</v>
      </c>
      <c r="D42" s="7" t="s">
        <v>29</v>
      </c>
      <c r="E42" s="7" t="s">
        <v>79</v>
      </c>
      <c r="F42" s="7" t="s">
        <v>114</v>
      </c>
      <c r="G42" s="25" t="s">
        <v>57</v>
      </c>
      <c r="H42" s="3" t="s">
        <v>140</v>
      </c>
      <c r="I42" s="16"/>
      <c r="J42" s="16"/>
      <c r="K42" s="7" t="s">
        <v>83</v>
      </c>
      <c r="L42" s="8">
        <v>41876</v>
      </c>
      <c r="M42" s="8">
        <v>41880</v>
      </c>
      <c r="N42" s="9" t="s">
        <v>136</v>
      </c>
    </row>
    <row r="43" spans="1:14" ht="20.100000000000001" customHeight="1" x14ac:dyDescent="0.2">
      <c r="A43" s="3">
        <v>40</v>
      </c>
      <c r="B43" s="3">
        <v>40</v>
      </c>
      <c r="C43" s="3">
        <v>0</v>
      </c>
      <c r="D43" s="7" t="s">
        <v>66</v>
      </c>
      <c r="E43" s="7" t="s">
        <v>79</v>
      </c>
      <c r="F43" s="7" t="s">
        <v>115</v>
      </c>
      <c r="G43" s="25" t="s">
        <v>100</v>
      </c>
      <c r="H43" s="3" t="s">
        <v>140</v>
      </c>
      <c r="I43" s="16"/>
      <c r="J43" s="16"/>
      <c r="K43" s="7" t="s">
        <v>62</v>
      </c>
      <c r="L43" s="8">
        <v>41883</v>
      </c>
      <c r="M43" s="8">
        <v>41885</v>
      </c>
      <c r="N43" s="9" t="s">
        <v>136</v>
      </c>
    </row>
    <row r="44" spans="1:14" ht="20.100000000000001" customHeight="1" x14ac:dyDescent="0.2">
      <c r="A44" s="3">
        <v>58</v>
      </c>
      <c r="B44" s="3">
        <v>41</v>
      </c>
      <c r="C44" s="3">
        <v>0</v>
      </c>
      <c r="D44" s="7" t="s">
        <v>67</v>
      </c>
      <c r="E44" s="7" t="s">
        <v>80</v>
      </c>
      <c r="F44" s="7" t="s">
        <v>91</v>
      </c>
      <c r="G44" s="25" t="s">
        <v>209</v>
      </c>
      <c r="H44" s="3" t="s">
        <v>141</v>
      </c>
      <c r="I44" s="16"/>
      <c r="J44" s="16"/>
      <c r="K44" s="7" t="s">
        <v>128</v>
      </c>
      <c r="L44" s="8">
        <v>41883</v>
      </c>
      <c r="M44" s="8">
        <v>41886</v>
      </c>
      <c r="N44" s="9" t="s">
        <v>136</v>
      </c>
    </row>
    <row r="45" spans="1:14" ht="20.100000000000001" customHeight="1" x14ac:dyDescent="0.2">
      <c r="A45" s="3">
        <v>46</v>
      </c>
      <c r="B45" s="3">
        <v>42</v>
      </c>
      <c r="C45" s="3">
        <v>0</v>
      </c>
      <c r="D45" s="7" t="s">
        <v>67</v>
      </c>
      <c r="E45" s="7" t="s">
        <v>80</v>
      </c>
      <c r="F45" s="24" t="s">
        <v>216</v>
      </c>
      <c r="G45" s="25" t="s">
        <v>210</v>
      </c>
      <c r="H45" s="3" t="s">
        <v>141</v>
      </c>
      <c r="I45" s="16"/>
      <c r="J45" s="16"/>
      <c r="K45" s="7" t="s">
        <v>128</v>
      </c>
      <c r="L45" s="8">
        <v>41887</v>
      </c>
      <c r="M45" s="8">
        <v>41887</v>
      </c>
      <c r="N45" s="9" t="s">
        <v>136</v>
      </c>
    </row>
    <row r="46" spans="1:14" ht="20.100000000000001" customHeight="1" x14ac:dyDescent="0.2">
      <c r="A46" s="3">
        <v>32</v>
      </c>
      <c r="B46" s="3">
        <v>43</v>
      </c>
      <c r="C46" s="3">
        <v>0</v>
      </c>
      <c r="D46" s="7" t="s">
        <v>29</v>
      </c>
      <c r="E46" s="7" t="s">
        <v>79</v>
      </c>
      <c r="F46" s="7" t="s">
        <v>192</v>
      </c>
      <c r="G46" s="25" t="s">
        <v>176</v>
      </c>
      <c r="H46" s="3" t="s">
        <v>140</v>
      </c>
      <c r="I46" s="16"/>
      <c r="J46" s="16"/>
      <c r="K46" s="7" t="s">
        <v>128</v>
      </c>
      <c r="L46" s="8">
        <v>41887</v>
      </c>
      <c r="M46" s="8">
        <v>41887</v>
      </c>
      <c r="N46" s="9" t="s">
        <v>136</v>
      </c>
    </row>
    <row r="47" spans="1:14" ht="20.100000000000001" customHeight="1" x14ac:dyDescent="0.2">
      <c r="A47" s="3">
        <v>23</v>
      </c>
      <c r="B47" s="3">
        <v>44</v>
      </c>
      <c r="C47" s="3">
        <v>0</v>
      </c>
      <c r="D47" s="7" t="s">
        <v>29</v>
      </c>
      <c r="E47" s="7" t="s">
        <v>79</v>
      </c>
      <c r="F47" s="7" t="s">
        <v>116</v>
      </c>
      <c r="G47" s="25" t="s">
        <v>98</v>
      </c>
      <c r="H47" s="3" t="s">
        <v>140</v>
      </c>
      <c r="I47" s="16"/>
      <c r="J47" s="16"/>
      <c r="K47" s="7" t="s">
        <v>83</v>
      </c>
      <c r="L47" s="8">
        <v>41892</v>
      </c>
      <c r="M47" s="8">
        <v>41894</v>
      </c>
      <c r="N47" s="9" t="s">
        <v>136</v>
      </c>
    </row>
    <row r="48" spans="1:14" ht="20.100000000000001" customHeight="1" x14ac:dyDescent="0.2">
      <c r="A48" s="3">
        <v>24</v>
      </c>
      <c r="B48" s="3">
        <v>45</v>
      </c>
      <c r="C48" s="3">
        <v>0</v>
      </c>
      <c r="D48" s="7" t="s">
        <v>29</v>
      </c>
      <c r="E48" s="7" t="s">
        <v>79</v>
      </c>
      <c r="F48" s="7" t="s">
        <v>116</v>
      </c>
      <c r="G48" s="25" t="s">
        <v>101</v>
      </c>
      <c r="H48" s="3" t="s">
        <v>140</v>
      </c>
      <c r="I48" s="16"/>
      <c r="J48" s="16"/>
      <c r="K48" s="7" t="s">
        <v>128</v>
      </c>
      <c r="L48" s="8">
        <v>41897</v>
      </c>
      <c r="M48" s="8">
        <v>41897</v>
      </c>
      <c r="N48" s="9" t="s">
        <v>136</v>
      </c>
    </row>
    <row r="49" spans="1:14" ht="20.100000000000001" customHeight="1" x14ac:dyDescent="0.2">
      <c r="A49" s="3">
        <v>63</v>
      </c>
      <c r="B49" s="3">
        <v>46</v>
      </c>
      <c r="C49" s="3">
        <v>0</v>
      </c>
      <c r="D49" s="7" t="s">
        <v>67</v>
      </c>
      <c r="E49" s="7" t="s">
        <v>206</v>
      </c>
      <c r="F49" s="24" t="s">
        <v>262</v>
      </c>
      <c r="G49" s="25" t="s">
        <v>204</v>
      </c>
      <c r="H49" s="3" t="s">
        <v>142</v>
      </c>
      <c r="I49" s="16"/>
      <c r="J49" s="16"/>
      <c r="K49" s="7" t="s">
        <v>128</v>
      </c>
      <c r="L49" s="8">
        <v>41897</v>
      </c>
      <c r="M49" s="8">
        <v>41901</v>
      </c>
      <c r="N49" s="9" t="s">
        <v>136</v>
      </c>
    </row>
    <row r="50" spans="1:14" ht="20.100000000000001" customHeight="1" x14ac:dyDescent="0.2">
      <c r="A50" s="3">
        <v>64</v>
      </c>
      <c r="B50" s="3">
        <v>47</v>
      </c>
      <c r="C50" s="3">
        <v>0</v>
      </c>
      <c r="D50" s="7" t="s">
        <v>67</v>
      </c>
      <c r="E50" s="7" t="s">
        <v>80</v>
      </c>
      <c r="F50" s="24" t="s">
        <v>262</v>
      </c>
      <c r="G50" s="25" t="s">
        <v>205</v>
      </c>
      <c r="H50" s="3" t="s">
        <v>144</v>
      </c>
      <c r="I50" s="16"/>
      <c r="J50" s="16"/>
      <c r="K50" s="7" t="s">
        <v>128</v>
      </c>
      <c r="L50" s="8">
        <v>41897</v>
      </c>
      <c r="M50" s="8">
        <v>41901</v>
      </c>
      <c r="N50" s="9" t="s">
        <v>136</v>
      </c>
    </row>
    <row r="51" spans="1:14" ht="20.100000000000001" customHeight="1" x14ac:dyDescent="0.2">
      <c r="A51" s="3">
        <v>65</v>
      </c>
      <c r="B51" s="3">
        <v>48</v>
      </c>
      <c r="C51" s="3">
        <v>0</v>
      </c>
      <c r="D51" s="7" t="s">
        <v>67</v>
      </c>
      <c r="E51" s="7" t="s">
        <v>80</v>
      </c>
      <c r="F51" s="24" t="s">
        <v>262</v>
      </c>
      <c r="G51" s="25" t="s">
        <v>93</v>
      </c>
      <c r="H51" s="3" t="s">
        <v>141</v>
      </c>
      <c r="I51" s="16"/>
      <c r="J51" s="16"/>
      <c r="K51" s="7" t="s">
        <v>128</v>
      </c>
      <c r="L51" s="8">
        <v>41897</v>
      </c>
      <c r="M51" s="8">
        <v>41901</v>
      </c>
      <c r="N51" s="9" t="s">
        <v>136</v>
      </c>
    </row>
    <row r="52" spans="1:14" ht="20.100000000000001" customHeight="1" x14ac:dyDescent="0.2">
      <c r="A52" s="3">
        <v>19</v>
      </c>
      <c r="B52" s="3">
        <v>49</v>
      </c>
      <c r="C52" s="3">
        <v>0</v>
      </c>
      <c r="D52" s="7" t="s">
        <v>29</v>
      </c>
      <c r="E52" s="7" t="s">
        <v>79</v>
      </c>
      <c r="F52" s="7" t="s">
        <v>79</v>
      </c>
      <c r="G52" s="25" t="s">
        <v>213</v>
      </c>
      <c r="H52" s="3" t="s">
        <v>141</v>
      </c>
      <c r="I52" s="16"/>
      <c r="J52" s="16"/>
      <c r="K52" s="7" t="s">
        <v>128</v>
      </c>
      <c r="L52" s="8">
        <v>41901</v>
      </c>
      <c r="M52" s="8">
        <v>41901</v>
      </c>
      <c r="N52" s="9" t="s">
        <v>136</v>
      </c>
    </row>
    <row r="53" spans="1:14" ht="20.100000000000001" customHeight="1" x14ac:dyDescent="0.2">
      <c r="A53" s="3">
        <v>59</v>
      </c>
      <c r="B53" s="3">
        <v>50</v>
      </c>
      <c r="C53" s="3">
        <v>0</v>
      </c>
      <c r="D53" s="7" t="s">
        <v>67</v>
      </c>
      <c r="E53" s="24" t="s">
        <v>63</v>
      </c>
      <c r="F53" s="7" t="s">
        <v>91</v>
      </c>
      <c r="G53" s="25" t="s">
        <v>212</v>
      </c>
      <c r="H53" s="3" t="s">
        <v>141</v>
      </c>
      <c r="I53" s="16"/>
      <c r="J53" s="16"/>
      <c r="K53" s="7" t="s">
        <v>128</v>
      </c>
      <c r="L53" s="8">
        <v>41904</v>
      </c>
      <c r="M53" s="8">
        <v>41908</v>
      </c>
      <c r="N53" s="9" t="s">
        <v>136</v>
      </c>
    </row>
    <row r="54" spans="1:14" ht="20.100000000000001" customHeight="1" x14ac:dyDescent="0.2">
      <c r="A54" s="3">
        <v>79</v>
      </c>
      <c r="B54" s="3">
        <v>51</v>
      </c>
      <c r="C54" s="3">
        <v>0</v>
      </c>
      <c r="D54" s="7" t="s">
        <v>67</v>
      </c>
      <c r="E54" s="24" t="s">
        <v>88</v>
      </c>
      <c r="F54" s="7" t="s">
        <v>187</v>
      </c>
      <c r="G54" s="25" t="s">
        <v>214</v>
      </c>
      <c r="H54" s="3" t="s">
        <v>141</v>
      </c>
      <c r="I54" s="16"/>
      <c r="J54" s="16"/>
      <c r="K54" s="7" t="s">
        <v>62</v>
      </c>
      <c r="L54" s="8">
        <v>41907</v>
      </c>
      <c r="M54" s="8">
        <v>41907</v>
      </c>
      <c r="N54" s="9" t="s">
        <v>136</v>
      </c>
    </row>
    <row r="55" spans="1:14" ht="20.100000000000001" customHeight="1" x14ac:dyDescent="0.2">
      <c r="A55" s="3">
        <v>83</v>
      </c>
      <c r="B55" s="3">
        <v>52</v>
      </c>
      <c r="C55" s="3">
        <v>0</v>
      </c>
      <c r="D55" s="7" t="s">
        <v>67</v>
      </c>
      <c r="E55" s="24" t="s">
        <v>88</v>
      </c>
      <c r="F55" s="24" t="s">
        <v>219</v>
      </c>
      <c r="G55" s="25" t="s">
        <v>215</v>
      </c>
      <c r="H55" s="3" t="s">
        <v>141</v>
      </c>
      <c r="I55" s="16"/>
      <c r="J55" s="16"/>
      <c r="K55" s="7" t="s">
        <v>128</v>
      </c>
      <c r="L55" s="8">
        <v>41908</v>
      </c>
      <c r="M55" s="8">
        <v>41908</v>
      </c>
      <c r="N55" s="9" t="s">
        <v>136</v>
      </c>
    </row>
    <row r="56" spans="1:14" ht="20.100000000000001" customHeight="1" x14ac:dyDescent="0.2">
      <c r="A56" s="3">
        <v>25</v>
      </c>
      <c r="B56" s="3">
        <v>53</v>
      </c>
      <c r="C56" s="3">
        <v>0</v>
      </c>
      <c r="D56" s="7" t="s">
        <v>29</v>
      </c>
      <c r="E56" s="7" t="s">
        <v>79</v>
      </c>
      <c r="F56" s="7" t="s">
        <v>116</v>
      </c>
      <c r="G56" s="25" t="s">
        <v>202</v>
      </c>
      <c r="H56" s="3" t="s">
        <v>224</v>
      </c>
      <c r="I56" s="16"/>
      <c r="J56" s="16"/>
      <c r="K56" s="7" t="s">
        <v>83</v>
      </c>
      <c r="L56" s="8">
        <v>41911</v>
      </c>
      <c r="M56" s="8">
        <v>41912</v>
      </c>
      <c r="N56" s="9" t="s">
        <v>136</v>
      </c>
    </row>
    <row r="57" spans="1:14" ht="20.100000000000001" customHeight="1" x14ac:dyDescent="0.2">
      <c r="A57" s="3">
        <v>56</v>
      </c>
      <c r="B57" s="3">
        <v>54</v>
      </c>
      <c r="C57" s="3">
        <v>0</v>
      </c>
      <c r="D57" s="7" t="s">
        <v>67</v>
      </c>
      <c r="E57" s="24" t="s">
        <v>63</v>
      </c>
      <c r="F57" s="7" t="s">
        <v>217</v>
      </c>
      <c r="G57" s="25" t="s">
        <v>211</v>
      </c>
      <c r="H57" s="3" t="s">
        <v>141</v>
      </c>
      <c r="I57" s="16"/>
      <c r="J57" s="16"/>
      <c r="K57" s="7" t="s">
        <v>128</v>
      </c>
      <c r="L57" s="8">
        <v>41913</v>
      </c>
      <c r="M57" s="8">
        <v>41914</v>
      </c>
      <c r="N57" s="9" t="s">
        <v>136</v>
      </c>
    </row>
    <row r="58" spans="1:14" ht="20.100000000000001" customHeight="1" x14ac:dyDescent="0.2">
      <c r="A58" s="3">
        <v>41</v>
      </c>
      <c r="B58" s="3">
        <v>55</v>
      </c>
      <c r="C58" s="3">
        <v>0</v>
      </c>
      <c r="D58" s="7" t="s">
        <v>29</v>
      </c>
      <c r="E58" s="7" t="s">
        <v>79</v>
      </c>
      <c r="F58" s="7" t="s">
        <v>103</v>
      </c>
      <c r="G58" s="25" t="s">
        <v>239</v>
      </c>
      <c r="H58" s="3" t="s">
        <v>140</v>
      </c>
      <c r="I58" s="16"/>
      <c r="J58" s="16"/>
      <c r="K58" s="7" t="s">
        <v>128</v>
      </c>
      <c r="L58" s="8">
        <v>41918</v>
      </c>
      <c r="M58" s="8">
        <v>41918</v>
      </c>
      <c r="N58" s="9" t="s">
        <v>136</v>
      </c>
    </row>
    <row r="59" spans="1:14" ht="20.100000000000001" customHeight="1" x14ac:dyDescent="0.2">
      <c r="A59" s="3">
        <v>74</v>
      </c>
      <c r="B59" s="3">
        <v>56</v>
      </c>
      <c r="C59" s="3">
        <v>0</v>
      </c>
      <c r="D59" s="7" t="s">
        <v>67</v>
      </c>
      <c r="E59" s="24" t="s">
        <v>63</v>
      </c>
      <c r="F59" s="24" t="s">
        <v>120</v>
      </c>
      <c r="G59" s="25" t="s">
        <v>97</v>
      </c>
      <c r="H59" s="3" t="s">
        <v>225</v>
      </c>
      <c r="I59" s="16"/>
      <c r="J59" s="16"/>
      <c r="K59" s="7" t="s">
        <v>128</v>
      </c>
      <c r="L59" s="8">
        <v>41919</v>
      </c>
      <c r="M59" s="8">
        <v>41922</v>
      </c>
      <c r="N59" s="9" t="s">
        <v>136</v>
      </c>
    </row>
    <row r="60" spans="1:14" ht="20.100000000000001" customHeight="1" x14ac:dyDescent="0.2">
      <c r="A60" s="3">
        <v>75</v>
      </c>
      <c r="B60" s="3">
        <v>57</v>
      </c>
      <c r="C60" s="3">
        <v>0</v>
      </c>
      <c r="D60" s="7" t="s">
        <v>67</v>
      </c>
      <c r="E60" s="24" t="s">
        <v>63</v>
      </c>
      <c r="F60" s="24" t="s">
        <v>120</v>
      </c>
      <c r="G60" s="25" t="s">
        <v>240</v>
      </c>
      <c r="H60" s="3" t="s">
        <v>141</v>
      </c>
      <c r="I60" s="16"/>
      <c r="J60" s="16"/>
      <c r="K60" s="7" t="s">
        <v>128</v>
      </c>
      <c r="L60" s="8">
        <v>41925</v>
      </c>
      <c r="M60" s="8">
        <v>41926</v>
      </c>
      <c r="N60" s="9" t="s">
        <v>136</v>
      </c>
    </row>
    <row r="61" spans="1:14" ht="20.100000000000001" customHeight="1" x14ac:dyDescent="0.2">
      <c r="A61" s="3">
        <v>86</v>
      </c>
      <c r="B61" s="3">
        <v>58</v>
      </c>
      <c r="C61" s="3">
        <v>0</v>
      </c>
      <c r="D61" s="7" t="s">
        <v>247</v>
      </c>
      <c r="E61" s="24" t="s">
        <v>248</v>
      </c>
      <c r="F61" s="24" t="s">
        <v>249</v>
      </c>
      <c r="G61" s="25" t="s">
        <v>241</v>
      </c>
      <c r="H61" s="3" t="s">
        <v>141</v>
      </c>
      <c r="I61" s="16"/>
      <c r="J61" s="16"/>
      <c r="K61" s="7" t="s">
        <v>254</v>
      </c>
      <c r="L61" s="34">
        <v>41920</v>
      </c>
      <c r="M61" s="34">
        <v>41920</v>
      </c>
      <c r="N61" s="9" t="s">
        <v>136</v>
      </c>
    </row>
    <row r="62" spans="1:14" ht="20.100000000000001" customHeight="1" x14ac:dyDescent="0.2">
      <c r="A62" s="3">
        <v>87</v>
      </c>
      <c r="B62" s="3">
        <v>59</v>
      </c>
      <c r="C62" s="3">
        <v>0</v>
      </c>
      <c r="D62" s="7" t="s">
        <v>247</v>
      </c>
      <c r="E62" s="24" t="s">
        <v>248</v>
      </c>
      <c r="F62" s="24" t="s">
        <v>249</v>
      </c>
      <c r="G62" s="25" t="s">
        <v>242</v>
      </c>
      <c r="H62" s="3" t="s">
        <v>141</v>
      </c>
      <c r="I62" s="16"/>
      <c r="J62" s="16"/>
      <c r="K62" s="7" t="s">
        <v>128</v>
      </c>
      <c r="L62" s="34">
        <v>41927</v>
      </c>
      <c r="M62" s="34">
        <v>41928</v>
      </c>
      <c r="N62" s="9" t="s">
        <v>136</v>
      </c>
    </row>
    <row r="63" spans="1:14" ht="20.100000000000001" customHeight="1" x14ac:dyDescent="0.2">
      <c r="A63" s="37">
        <v>88</v>
      </c>
      <c r="B63" s="37">
        <v>60</v>
      </c>
      <c r="C63" s="37">
        <v>1</v>
      </c>
      <c r="D63" s="35" t="s">
        <v>247</v>
      </c>
      <c r="E63" s="36" t="s">
        <v>248</v>
      </c>
      <c r="F63" s="60" t="s">
        <v>249</v>
      </c>
      <c r="G63" s="61" t="s">
        <v>243</v>
      </c>
      <c r="H63" s="37" t="s">
        <v>141</v>
      </c>
      <c r="I63" s="74">
        <v>2</v>
      </c>
      <c r="J63" s="74">
        <f>I63</f>
        <v>2</v>
      </c>
      <c r="K63" s="35" t="s">
        <v>128</v>
      </c>
      <c r="L63" s="38">
        <v>41927</v>
      </c>
      <c r="M63" s="37"/>
      <c r="N63" s="39"/>
    </row>
    <row r="64" spans="1:14" ht="20.100000000000001" customHeight="1" x14ac:dyDescent="0.2">
      <c r="A64" s="40">
        <v>43</v>
      </c>
      <c r="B64" s="40">
        <v>61</v>
      </c>
      <c r="C64" s="40">
        <v>2</v>
      </c>
      <c r="D64" s="41" t="s">
        <v>29</v>
      </c>
      <c r="E64" s="41" t="s">
        <v>79</v>
      </c>
      <c r="F64" s="62" t="s">
        <v>191</v>
      </c>
      <c r="G64" s="63" t="s">
        <v>179</v>
      </c>
      <c r="H64" s="40" t="s">
        <v>222</v>
      </c>
      <c r="I64" s="75">
        <v>3</v>
      </c>
      <c r="J64" s="75">
        <f>J63+I64</f>
        <v>5</v>
      </c>
      <c r="K64" s="41" t="s">
        <v>128</v>
      </c>
      <c r="L64" s="42">
        <v>41927</v>
      </c>
      <c r="M64" s="40"/>
      <c r="N64" s="43"/>
    </row>
    <row r="65" spans="1:14" ht="20.100000000000001" customHeight="1" x14ac:dyDescent="0.2">
      <c r="A65" s="47">
        <v>57</v>
      </c>
      <c r="B65" s="47">
        <v>63</v>
      </c>
      <c r="C65" s="47">
        <v>3</v>
      </c>
      <c r="D65" s="48" t="s">
        <v>252</v>
      </c>
      <c r="E65" s="51" t="s">
        <v>63</v>
      </c>
      <c r="F65" s="64" t="s">
        <v>262</v>
      </c>
      <c r="G65" s="65" t="s">
        <v>218</v>
      </c>
      <c r="H65" s="47" t="s">
        <v>141</v>
      </c>
      <c r="I65" s="76">
        <v>2</v>
      </c>
      <c r="J65" s="76">
        <f t="shared" ref="J65:J79" si="0">J64+I65</f>
        <v>7</v>
      </c>
      <c r="K65" s="48" t="s">
        <v>128</v>
      </c>
      <c r="L65" s="52"/>
      <c r="M65" s="47"/>
      <c r="N65" s="49"/>
    </row>
    <row r="66" spans="1:14" ht="20.100000000000001" customHeight="1" x14ac:dyDescent="0.2">
      <c r="A66" s="47">
        <v>60</v>
      </c>
      <c r="B66" s="47">
        <v>64</v>
      </c>
      <c r="C66" s="47">
        <v>4</v>
      </c>
      <c r="D66" s="51" t="s">
        <v>67</v>
      </c>
      <c r="E66" s="51" t="s">
        <v>63</v>
      </c>
      <c r="F66" s="66" t="s">
        <v>91</v>
      </c>
      <c r="G66" s="67" t="s">
        <v>244</v>
      </c>
      <c r="H66" s="52" t="s">
        <v>141</v>
      </c>
      <c r="I66" s="77">
        <v>1</v>
      </c>
      <c r="J66" s="76">
        <f t="shared" si="0"/>
        <v>8</v>
      </c>
      <c r="K66" s="51" t="s">
        <v>128</v>
      </c>
      <c r="L66" s="52"/>
      <c r="M66" s="52"/>
      <c r="N66" s="53"/>
    </row>
    <row r="67" spans="1:14" ht="20.100000000000001" customHeight="1" x14ac:dyDescent="0.2">
      <c r="A67" s="47">
        <v>61</v>
      </c>
      <c r="B67" s="47">
        <v>65</v>
      </c>
      <c r="C67" s="47">
        <v>5</v>
      </c>
      <c r="D67" s="51" t="s">
        <v>67</v>
      </c>
      <c r="E67" s="51" t="s">
        <v>63</v>
      </c>
      <c r="F67" s="66" t="s">
        <v>91</v>
      </c>
      <c r="G67" s="67" t="s">
        <v>208</v>
      </c>
      <c r="H67" s="52" t="s">
        <v>226</v>
      </c>
      <c r="I67" s="77">
        <v>1</v>
      </c>
      <c r="J67" s="76">
        <f t="shared" si="0"/>
        <v>9</v>
      </c>
      <c r="K67" s="51" t="s">
        <v>128</v>
      </c>
      <c r="L67" s="52"/>
      <c r="M67" s="52"/>
      <c r="N67" s="53"/>
    </row>
    <row r="68" spans="1:14" ht="20.100000000000001" customHeight="1" x14ac:dyDescent="0.2">
      <c r="A68" s="47">
        <v>66</v>
      </c>
      <c r="B68" s="47">
        <v>66</v>
      </c>
      <c r="C68" s="47">
        <v>6</v>
      </c>
      <c r="D68" s="48" t="s">
        <v>67</v>
      </c>
      <c r="E68" s="51" t="s">
        <v>63</v>
      </c>
      <c r="F68" s="64" t="s">
        <v>262</v>
      </c>
      <c r="G68" s="65" t="s">
        <v>245</v>
      </c>
      <c r="H68" s="47" t="s">
        <v>227</v>
      </c>
      <c r="I68" s="76">
        <v>1</v>
      </c>
      <c r="J68" s="76">
        <f t="shared" si="0"/>
        <v>10</v>
      </c>
      <c r="K68" s="48" t="s">
        <v>128</v>
      </c>
      <c r="L68" s="52"/>
      <c r="M68" s="47"/>
      <c r="N68" s="49"/>
    </row>
    <row r="69" spans="1:14" ht="20.100000000000001" customHeight="1" x14ac:dyDescent="0.2">
      <c r="A69" s="47">
        <v>67</v>
      </c>
      <c r="B69" s="47">
        <v>67</v>
      </c>
      <c r="C69" s="47">
        <v>7</v>
      </c>
      <c r="D69" s="48" t="s">
        <v>67</v>
      </c>
      <c r="E69" s="51" t="s">
        <v>63</v>
      </c>
      <c r="F69" s="66" t="s">
        <v>91</v>
      </c>
      <c r="G69" s="65" t="s">
        <v>246</v>
      </c>
      <c r="H69" s="47" t="s">
        <v>228</v>
      </c>
      <c r="I69" s="76">
        <v>2</v>
      </c>
      <c r="J69" s="76">
        <f t="shared" si="0"/>
        <v>12</v>
      </c>
      <c r="K69" s="48" t="s">
        <v>128</v>
      </c>
      <c r="L69" s="47"/>
      <c r="M69" s="47"/>
      <c r="N69" s="49"/>
    </row>
    <row r="70" spans="1:14" ht="20.100000000000001" customHeight="1" x14ac:dyDescent="0.2">
      <c r="A70" s="40">
        <v>21</v>
      </c>
      <c r="B70" s="40">
        <v>62</v>
      </c>
      <c r="C70" s="40">
        <v>11</v>
      </c>
      <c r="D70" s="41" t="s">
        <v>257</v>
      </c>
      <c r="E70" s="41" t="s">
        <v>79</v>
      </c>
      <c r="F70" s="62" t="s">
        <v>189</v>
      </c>
      <c r="G70" s="63" t="s">
        <v>258</v>
      </c>
      <c r="H70" s="40" t="s">
        <v>140</v>
      </c>
      <c r="I70" s="75">
        <v>1</v>
      </c>
      <c r="J70" s="75">
        <f>J69+I70</f>
        <v>13</v>
      </c>
      <c r="K70" s="41" t="s">
        <v>194</v>
      </c>
      <c r="L70" s="42"/>
      <c r="M70" s="40"/>
      <c r="N70" s="43"/>
    </row>
    <row r="71" spans="1:14" ht="20.100000000000001" customHeight="1" x14ac:dyDescent="0.2">
      <c r="A71" s="44">
        <v>76</v>
      </c>
      <c r="B71" s="44">
        <v>71</v>
      </c>
      <c r="C71" s="44">
        <v>9</v>
      </c>
      <c r="D71" s="45" t="s">
        <v>67</v>
      </c>
      <c r="E71" s="54" t="s">
        <v>63</v>
      </c>
      <c r="F71" s="68" t="s">
        <v>125</v>
      </c>
      <c r="G71" s="69" t="s">
        <v>126</v>
      </c>
      <c r="H71" s="44" t="s">
        <v>227</v>
      </c>
      <c r="I71" s="78">
        <v>2</v>
      </c>
      <c r="J71" s="78">
        <f t="shared" ref="J71:J79" si="1">J70+I71</f>
        <v>15</v>
      </c>
      <c r="K71" s="45" t="s">
        <v>128</v>
      </c>
      <c r="L71" s="44"/>
      <c r="M71" s="44"/>
      <c r="N71" s="46"/>
    </row>
    <row r="72" spans="1:14" ht="20.100000000000001" customHeight="1" x14ac:dyDescent="0.2">
      <c r="A72" s="44">
        <v>72</v>
      </c>
      <c r="B72" s="44">
        <v>75</v>
      </c>
      <c r="C72" s="44">
        <v>15</v>
      </c>
      <c r="D72" s="45" t="s">
        <v>67</v>
      </c>
      <c r="E72" s="54" t="s">
        <v>63</v>
      </c>
      <c r="F72" s="68" t="s">
        <v>124</v>
      </c>
      <c r="G72" s="69" t="s">
        <v>65</v>
      </c>
      <c r="H72" s="44" t="s">
        <v>227</v>
      </c>
      <c r="I72" s="78">
        <v>3</v>
      </c>
      <c r="J72" s="78">
        <f t="shared" si="1"/>
        <v>18</v>
      </c>
      <c r="K72" s="45" t="s">
        <v>128</v>
      </c>
      <c r="L72" s="44"/>
      <c r="M72" s="44"/>
      <c r="N72" s="46"/>
    </row>
    <row r="73" spans="1:14" ht="20.100000000000001" customHeight="1" x14ac:dyDescent="0.2">
      <c r="A73" s="44">
        <v>73</v>
      </c>
      <c r="B73" s="44">
        <v>76</v>
      </c>
      <c r="C73" s="44">
        <v>16</v>
      </c>
      <c r="D73" s="45" t="s">
        <v>67</v>
      </c>
      <c r="E73" s="54" t="s">
        <v>63</v>
      </c>
      <c r="F73" s="68" t="s">
        <v>124</v>
      </c>
      <c r="G73" s="69" t="s">
        <v>266</v>
      </c>
      <c r="H73" s="44" t="s">
        <v>227</v>
      </c>
      <c r="I73" s="78">
        <v>2</v>
      </c>
      <c r="J73" s="78">
        <f t="shared" si="1"/>
        <v>20</v>
      </c>
      <c r="K73" s="45" t="s">
        <v>128</v>
      </c>
      <c r="L73" s="44"/>
      <c r="M73" s="44"/>
      <c r="N73" s="46"/>
    </row>
    <row r="74" spans="1:14" ht="20.100000000000001" customHeight="1" x14ac:dyDescent="0.2">
      <c r="A74" s="40">
        <v>22</v>
      </c>
      <c r="B74" s="40">
        <v>74</v>
      </c>
      <c r="C74" s="40">
        <v>12</v>
      </c>
      <c r="D74" s="41" t="s">
        <v>29</v>
      </c>
      <c r="E74" s="41" t="s">
        <v>79</v>
      </c>
      <c r="F74" s="62" t="s">
        <v>189</v>
      </c>
      <c r="G74" s="70" t="s">
        <v>256</v>
      </c>
      <c r="H74" s="40" t="s">
        <v>140</v>
      </c>
      <c r="I74" s="75">
        <v>1</v>
      </c>
      <c r="J74" s="75">
        <f t="shared" si="1"/>
        <v>21</v>
      </c>
      <c r="K74" s="41" t="s">
        <v>194</v>
      </c>
      <c r="L74" s="40"/>
      <c r="M74" s="40"/>
      <c r="N74" s="43"/>
    </row>
    <row r="75" spans="1:14" ht="20.100000000000001" customHeight="1" x14ac:dyDescent="0.2">
      <c r="A75" s="55">
        <v>68</v>
      </c>
      <c r="B75" s="55">
        <v>69</v>
      </c>
      <c r="C75" s="55">
        <v>13</v>
      </c>
      <c r="D75" s="56" t="s">
        <v>67</v>
      </c>
      <c r="E75" s="57" t="s">
        <v>63</v>
      </c>
      <c r="F75" s="71" t="s">
        <v>262</v>
      </c>
      <c r="G75" s="72" t="s">
        <v>250</v>
      </c>
      <c r="H75" s="55" t="s">
        <v>228</v>
      </c>
      <c r="I75" s="79">
        <v>1</v>
      </c>
      <c r="J75" s="79">
        <f t="shared" si="1"/>
        <v>22</v>
      </c>
      <c r="K75" s="56" t="s">
        <v>128</v>
      </c>
      <c r="L75" s="58"/>
      <c r="M75" s="55"/>
      <c r="N75" s="59"/>
    </row>
    <row r="76" spans="1:14" ht="20.100000000000001" customHeight="1" x14ac:dyDescent="0.2">
      <c r="A76" s="55">
        <v>80</v>
      </c>
      <c r="B76" s="55">
        <v>70</v>
      </c>
      <c r="C76" s="55">
        <v>14</v>
      </c>
      <c r="D76" s="56" t="s">
        <v>67</v>
      </c>
      <c r="E76" s="57" t="s">
        <v>88</v>
      </c>
      <c r="F76" s="71" t="s">
        <v>182</v>
      </c>
      <c r="G76" s="72" t="s">
        <v>251</v>
      </c>
      <c r="H76" s="55" t="s">
        <v>227</v>
      </c>
      <c r="I76" s="79">
        <v>1</v>
      </c>
      <c r="J76" s="79">
        <f t="shared" si="1"/>
        <v>23</v>
      </c>
      <c r="K76" s="56" t="s">
        <v>128</v>
      </c>
      <c r="L76" s="55"/>
      <c r="M76" s="55"/>
      <c r="N76" s="59"/>
    </row>
    <row r="77" spans="1:14" ht="20.100000000000001" customHeight="1" x14ac:dyDescent="0.2">
      <c r="A77" s="55">
        <v>62</v>
      </c>
      <c r="B77" s="55">
        <v>68</v>
      </c>
      <c r="C77" s="55">
        <v>8</v>
      </c>
      <c r="D77" s="56" t="s">
        <v>67</v>
      </c>
      <c r="E77" s="57" t="s">
        <v>63</v>
      </c>
      <c r="F77" s="71" t="s">
        <v>262</v>
      </c>
      <c r="G77" s="72" t="s">
        <v>207</v>
      </c>
      <c r="H77" s="55" t="s">
        <v>227</v>
      </c>
      <c r="I77" s="79">
        <v>1</v>
      </c>
      <c r="J77" s="79">
        <f t="shared" si="1"/>
        <v>24</v>
      </c>
      <c r="K77" s="56" t="s">
        <v>128</v>
      </c>
      <c r="L77" s="55"/>
      <c r="M77" s="55"/>
      <c r="N77" s="59"/>
    </row>
    <row r="78" spans="1:14" ht="20.100000000000001" customHeight="1" x14ac:dyDescent="0.2">
      <c r="A78" s="55">
        <v>55</v>
      </c>
      <c r="B78" s="55">
        <v>77</v>
      </c>
      <c r="C78" s="55">
        <v>17</v>
      </c>
      <c r="D78" s="56" t="s">
        <v>67</v>
      </c>
      <c r="E78" s="57" t="s">
        <v>63</v>
      </c>
      <c r="F78" s="71" t="s">
        <v>121</v>
      </c>
      <c r="G78" s="72" t="s">
        <v>267</v>
      </c>
      <c r="H78" s="55" t="s">
        <v>229</v>
      </c>
      <c r="I78" s="79">
        <v>3</v>
      </c>
      <c r="J78" s="79">
        <f t="shared" si="1"/>
        <v>27</v>
      </c>
      <c r="K78" s="56" t="s">
        <v>128</v>
      </c>
      <c r="L78" s="55"/>
      <c r="M78" s="55"/>
      <c r="N78" s="59"/>
    </row>
    <row r="79" spans="1:14" ht="20.100000000000001" customHeight="1" x14ac:dyDescent="0.2">
      <c r="A79" s="55">
        <v>54</v>
      </c>
      <c r="B79" s="55">
        <v>78</v>
      </c>
      <c r="C79" s="55">
        <v>18</v>
      </c>
      <c r="D79" s="56" t="s">
        <v>67</v>
      </c>
      <c r="E79" s="56" t="s">
        <v>80</v>
      </c>
      <c r="F79" s="73" t="s">
        <v>123</v>
      </c>
      <c r="G79" s="72" t="s">
        <v>122</v>
      </c>
      <c r="H79" s="55" t="s">
        <v>230</v>
      </c>
      <c r="I79" s="79">
        <v>2</v>
      </c>
      <c r="J79" s="79">
        <f t="shared" si="1"/>
        <v>29</v>
      </c>
      <c r="K79" s="56" t="s">
        <v>83</v>
      </c>
      <c r="L79" s="55"/>
      <c r="M79" s="55"/>
      <c r="N79" s="59"/>
    </row>
    <row r="80" spans="1:14" ht="20.100000000000001" customHeight="1" x14ac:dyDescent="0.2">
      <c r="A80" s="20">
        <v>20</v>
      </c>
      <c r="B80" s="20">
        <v>79</v>
      </c>
      <c r="C80" s="20">
        <v>99</v>
      </c>
      <c r="D80" s="17" t="s">
        <v>29</v>
      </c>
      <c r="E80" s="17" t="s">
        <v>79</v>
      </c>
      <c r="F80" s="17" t="s">
        <v>188</v>
      </c>
      <c r="G80" s="19" t="s">
        <v>178</v>
      </c>
      <c r="H80" s="20" t="s">
        <v>222</v>
      </c>
      <c r="I80" s="21"/>
      <c r="J80" s="21"/>
      <c r="K80" s="17" t="s">
        <v>62</v>
      </c>
      <c r="L80" s="20"/>
      <c r="M80" s="20"/>
      <c r="N80" s="50" t="s">
        <v>265</v>
      </c>
    </row>
    <row r="81" spans="1:14" ht="20.100000000000001" customHeight="1" x14ac:dyDescent="0.2">
      <c r="A81" s="20">
        <v>44</v>
      </c>
      <c r="B81" s="20">
        <v>80</v>
      </c>
      <c r="C81" s="20">
        <v>99</v>
      </c>
      <c r="D81" s="17" t="s">
        <v>29</v>
      </c>
      <c r="E81" s="17" t="s">
        <v>79</v>
      </c>
      <c r="F81" s="17" t="s">
        <v>190</v>
      </c>
      <c r="G81" s="19" t="s">
        <v>184</v>
      </c>
      <c r="H81" s="20" t="s">
        <v>223</v>
      </c>
      <c r="I81" s="21"/>
      <c r="J81" s="21"/>
      <c r="K81" s="17" t="s">
        <v>193</v>
      </c>
      <c r="L81" s="20"/>
      <c r="M81" s="20"/>
      <c r="N81" s="50" t="s">
        <v>265</v>
      </c>
    </row>
    <row r="82" spans="1:14" ht="20.100000000000001" customHeight="1" x14ac:dyDescent="0.2">
      <c r="A82" s="20">
        <v>78</v>
      </c>
      <c r="B82" s="20">
        <v>72</v>
      </c>
      <c r="C82" s="20">
        <v>10</v>
      </c>
      <c r="D82" s="17" t="s">
        <v>67</v>
      </c>
      <c r="E82" s="18" t="s">
        <v>88</v>
      </c>
      <c r="F82" s="17" t="s">
        <v>186</v>
      </c>
      <c r="G82" s="19" t="s">
        <v>177</v>
      </c>
      <c r="H82" s="20" t="s">
        <v>227</v>
      </c>
      <c r="I82" s="21"/>
      <c r="J82" s="21"/>
      <c r="K82" s="17" t="s">
        <v>128</v>
      </c>
      <c r="L82" s="20"/>
      <c r="M82" s="20"/>
      <c r="N82" s="50" t="s">
        <v>265</v>
      </c>
    </row>
    <row r="83" spans="1:14" ht="20.100000000000001" customHeight="1" x14ac:dyDescent="0.2">
      <c r="A83" s="20">
        <v>82</v>
      </c>
      <c r="B83" s="20">
        <v>73</v>
      </c>
      <c r="C83" s="20">
        <v>99</v>
      </c>
      <c r="D83" s="17" t="s">
        <v>67</v>
      </c>
      <c r="E83" s="18" t="s">
        <v>88</v>
      </c>
      <c r="F83" s="18" t="s">
        <v>181</v>
      </c>
      <c r="G83" s="19" t="s">
        <v>180</v>
      </c>
      <c r="H83" s="20" t="s">
        <v>231</v>
      </c>
      <c r="I83" s="21"/>
      <c r="J83" s="21"/>
      <c r="K83" s="17" t="s">
        <v>128</v>
      </c>
      <c r="L83" s="20"/>
      <c r="M83" s="20"/>
      <c r="N83" s="50" t="s">
        <v>265</v>
      </c>
    </row>
    <row r="84" spans="1:14" ht="20.100000000000001" customHeight="1" x14ac:dyDescent="0.2">
      <c r="A84" s="20">
        <v>81</v>
      </c>
      <c r="B84" s="20">
        <v>81</v>
      </c>
      <c r="C84" s="20">
        <v>99</v>
      </c>
      <c r="D84" s="17" t="s">
        <v>67</v>
      </c>
      <c r="E84" s="18" t="s">
        <v>88</v>
      </c>
      <c r="F84" s="18" t="s">
        <v>91</v>
      </c>
      <c r="G84" s="19" t="s">
        <v>89</v>
      </c>
      <c r="H84" s="20" t="s">
        <v>220</v>
      </c>
      <c r="I84" s="21"/>
      <c r="J84" s="21"/>
      <c r="K84" s="17" t="s">
        <v>128</v>
      </c>
      <c r="L84" s="20"/>
      <c r="M84" s="20"/>
      <c r="N84" s="50" t="s">
        <v>265</v>
      </c>
    </row>
    <row r="85" spans="1:14" ht="20.100000000000001" customHeight="1" x14ac:dyDescent="0.2">
      <c r="A85" s="20">
        <v>69</v>
      </c>
      <c r="B85" s="20">
        <v>82</v>
      </c>
      <c r="C85" s="20">
        <v>99</v>
      </c>
      <c r="D85" s="17" t="s">
        <v>67</v>
      </c>
      <c r="E85" s="18" t="s">
        <v>63</v>
      </c>
      <c r="F85" s="17" t="s">
        <v>91</v>
      </c>
      <c r="G85" s="19" t="s">
        <v>64</v>
      </c>
      <c r="H85" s="20" t="s">
        <v>221</v>
      </c>
      <c r="I85" s="21"/>
      <c r="J85" s="21"/>
      <c r="K85" s="17" t="s">
        <v>128</v>
      </c>
      <c r="L85" s="26"/>
      <c r="M85" s="20"/>
      <c r="N85" s="50" t="s">
        <v>265</v>
      </c>
    </row>
    <row r="86" spans="1:14" ht="20.100000000000001" customHeight="1" x14ac:dyDescent="0.2">
      <c r="A86" s="20">
        <v>70</v>
      </c>
      <c r="B86" s="20">
        <v>83</v>
      </c>
      <c r="C86" s="20">
        <v>99</v>
      </c>
      <c r="D86" s="17" t="s">
        <v>67</v>
      </c>
      <c r="E86" s="18" t="s">
        <v>63</v>
      </c>
      <c r="F86" s="17" t="s">
        <v>91</v>
      </c>
      <c r="G86" s="19" t="s">
        <v>92</v>
      </c>
      <c r="H86" s="20" t="s">
        <v>143</v>
      </c>
      <c r="I86" s="21"/>
      <c r="J86" s="21"/>
      <c r="K86" s="17" t="s">
        <v>128</v>
      </c>
      <c r="L86" s="20"/>
      <c r="M86" s="20"/>
      <c r="N86" s="50" t="s">
        <v>265</v>
      </c>
    </row>
    <row r="87" spans="1:14" ht="20.100000000000001" customHeight="1" x14ac:dyDescent="0.2">
      <c r="A87" s="20">
        <v>85</v>
      </c>
      <c r="B87" s="20">
        <v>84</v>
      </c>
      <c r="C87" s="20">
        <v>99</v>
      </c>
      <c r="D87" s="17" t="s">
        <v>67</v>
      </c>
      <c r="E87" s="18" t="s">
        <v>90</v>
      </c>
      <c r="F87" s="18" t="s">
        <v>119</v>
      </c>
      <c r="G87" s="19" t="s">
        <v>94</v>
      </c>
      <c r="H87" s="20" t="s">
        <v>143</v>
      </c>
      <c r="I87" s="21"/>
      <c r="J87" s="21"/>
      <c r="K87" s="17" t="s">
        <v>128</v>
      </c>
      <c r="L87" s="20"/>
      <c r="M87" s="20"/>
      <c r="N87" s="50" t="s">
        <v>265</v>
      </c>
    </row>
    <row r="88" spans="1:14" ht="20.100000000000001" customHeight="1" x14ac:dyDescent="0.2">
      <c r="A88" s="20">
        <v>71</v>
      </c>
      <c r="B88" s="20">
        <v>85</v>
      </c>
      <c r="C88" s="20">
        <v>99</v>
      </c>
      <c r="D88" s="17" t="s">
        <v>67</v>
      </c>
      <c r="E88" s="18" t="s">
        <v>63</v>
      </c>
      <c r="F88" s="18" t="s">
        <v>262</v>
      </c>
      <c r="G88" s="19" t="s">
        <v>203</v>
      </c>
      <c r="H88" s="20" t="s">
        <v>143</v>
      </c>
      <c r="I88" s="21"/>
      <c r="J88" s="21"/>
      <c r="K88" s="17" t="s">
        <v>128</v>
      </c>
      <c r="L88" s="20"/>
      <c r="M88" s="20"/>
      <c r="N88" s="50" t="s">
        <v>265</v>
      </c>
    </row>
    <row r="89" spans="1:14" ht="20.100000000000001" customHeight="1" x14ac:dyDescent="0.2">
      <c r="A89" s="20">
        <v>84</v>
      </c>
      <c r="B89" s="20">
        <v>86</v>
      </c>
      <c r="C89" s="20">
        <v>99</v>
      </c>
      <c r="D89" s="17" t="s">
        <v>67</v>
      </c>
      <c r="E89" s="18" t="s">
        <v>90</v>
      </c>
      <c r="F89" s="18" t="s">
        <v>118</v>
      </c>
      <c r="G89" s="19" t="s">
        <v>95</v>
      </c>
      <c r="H89" s="20" t="s">
        <v>143</v>
      </c>
      <c r="I89" s="21"/>
      <c r="J89" s="21"/>
      <c r="K89" s="17" t="s">
        <v>128</v>
      </c>
      <c r="L89" s="20"/>
      <c r="M89" s="20"/>
      <c r="N89" s="50" t="s">
        <v>265</v>
      </c>
    </row>
    <row r="90" spans="1:14" ht="20.100000000000001" customHeight="1" x14ac:dyDescent="0.2">
      <c r="A90" s="20">
        <v>77</v>
      </c>
      <c r="B90" s="20">
        <v>87</v>
      </c>
      <c r="C90" s="20">
        <v>99</v>
      </c>
      <c r="D90" s="17" t="s">
        <v>67</v>
      </c>
      <c r="E90" s="18" t="s">
        <v>63</v>
      </c>
      <c r="F90" s="18" t="s">
        <v>127</v>
      </c>
      <c r="G90" s="19" t="s">
        <v>96</v>
      </c>
      <c r="H90" s="20" t="s">
        <v>143</v>
      </c>
      <c r="I90" s="21"/>
      <c r="J90" s="21"/>
      <c r="K90" s="17" t="s">
        <v>128</v>
      </c>
      <c r="L90" s="20"/>
      <c r="M90" s="20"/>
      <c r="N90" s="50" t="s">
        <v>265</v>
      </c>
    </row>
    <row r="91" spans="1:14" ht="20.100000000000001" customHeight="1" x14ac:dyDescent="0.2">
      <c r="A91" s="20">
        <v>31</v>
      </c>
      <c r="B91" s="20">
        <v>88</v>
      </c>
      <c r="C91" s="20">
        <v>99</v>
      </c>
      <c r="D91" s="17" t="s">
        <v>29</v>
      </c>
      <c r="E91" s="17" t="s">
        <v>79</v>
      </c>
      <c r="F91" s="17" t="s">
        <v>117</v>
      </c>
      <c r="G91" s="19" t="s">
        <v>99</v>
      </c>
      <c r="H91" s="20" t="s">
        <v>143</v>
      </c>
      <c r="I91" s="21"/>
      <c r="J91" s="21"/>
      <c r="K91" s="17" t="s">
        <v>83</v>
      </c>
      <c r="L91" s="20"/>
      <c r="M91" s="20"/>
      <c r="N91" s="50" t="s">
        <v>265</v>
      </c>
    </row>
    <row r="95" spans="1:14" ht="30.75" customHeight="1" x14ac:dyDescent="0.2">
      <c r="F95"/>
      <c r="G95"/>
    </row>
    <row r="96" spans="1:14" ht="30.75" customHeight="1" x14ac:dyDescent="0.2">
      <c r="F96"/>
      <c r="G96"/>
    </row>
    <row r="97" spans="6:7" ht="30.75" customHeight="1" x14ac:dyDescent="0.2">
      <c r="F97"/>
      <c r="G97"/>
    </row>
    <row r="98" spans="6:7" ht="30.75" customHeight="1" x14ac:dyDescent="0.2">
      <c r="F98"/>
      <c r="G98"/>
    </row>
    <row r="99" spans="6:7" ht="30.75" customHeight="1" x14ac:dyDescent="0.2">
      <c r="F99"/>
      <c r="G99"/>
    </row>
    <row r="100" spans="6:7" ht="30.75" customHeight="1" x14ac:dyDescent="0.2">
      <c r="F100"/>
      <c r="G100"/>
    </row>
    <row r="101" spans="6:7" ht="30.75" customHeight="1" x14ac:dyDescent="0.2">
      <c r="F101"/>
      <c r="G101"/>
    </row>
  </sheetData>
  <autoFilter ref="A3:N3"/>
  <mergeCells count="1">
    <mergeCell ref="A1:N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1" fitToHeight="2" orientation="portrait" r:id="rId1"/>
  <rowBreaks count="2" manualBreakCount="2">
    <brk id="42" max="13" man="1"/>
    <brk id="91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sqref="A1:XFD2"/>
    </sheetView>
  </sheetViews>
  <sheetFormatPr defaultRowHeight="12" x14ac:dyDescent="0.2"/>
  <cols>
    <col min="1" max="1" width="19.140625" bestFit="1" customWidth="1"/>
    <col min="2" max="2" width="57.85546875" bestFit="1" customWidth="1"/>
    <col min="3" max="3" width="57.85546875" customWidth="1"/>
  </cols>
  <sheetData>
    <row r="1" spans="1:15" s="2" customFormat="1" ht="30.75" customHeight="1" thickTop="1" thickBot="1" x14ac:dyDescent="0.25">
      <c r="A1" s="31" t="s">
        <v>146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s="2" customFormat="1" ht="9" customHeight="1" thickTop="1" x14ac:dyDescent="0.2">
      <c r="A2" s="5"/>
      <c r="B2" s="5"/>
      <c r="C2" s="5"/>
      <c r="D2" s="5"/>
      <c r="E2" s="6"/>
      <c r="F2" s="4"/>
      <c r="G2" s="4"/>
      <c r="H2" s="4"/>
      <c r="I2" s="15"/>
      <c r="J2" s="15"/>
      <c r="K2" s="5"/>
      <c r="L2" s="4"/>
      <c r="M2" s="4"/>
      <c r="N2" s="15"/>
      <c r="O2" s="10"/>
    </row>
  </sheetData>
  <mergeCells count="1">
    <mergeCell ref="A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환경정보</vt:lpstr>
      <vt:lpstr>개발일정</vt:lpstr>
      <vt:lpstr>Sheet1</vt:lpstr>
      <vt:lpstr>개발일정!Print_Area</vt:lpstr>
      <vt:lpstr>환경정보!Print_Area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carmine</dc:creator>
  <cp:lastModifiedBy>carmine</cp:lastModifiedBy>
  <cp:lastPrinted>2014-10-16T14:29:01Z</cp:lastPrinted>
  <dcterms:created xsi:type="dcterms:W3CDTF">2014-08-13T14:10:53Z</dcterms:created>
  <dcterms:modified xsi:type="dcterms:W3CDTF">2014-10-16T14:29:03Z</dcterms:modified>
</cp:coreProperties>
</file>